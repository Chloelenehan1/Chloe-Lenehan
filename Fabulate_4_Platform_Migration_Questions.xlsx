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Summary" sheetId="2" state="visible" r:id="rId4"/>
    <sheet name="Questions" sheetId="3" state="visible" r:id="rId5"/>
    <sheet name="Data Inventory" sheetId="4" state="visible" r:id="rId6"/>
    <sheet name="Lists" sheetId="5" state="visible" r:id="rId7"/>
  </sheets>
  <definedNames>
    <definedName function="false" hidden="true" localSheetId="2" name="_xlnm._FilterDatabase" vbProcedure="false">Questions!$A$1:$L$51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<sst xmlns="http://schemas.openxmlformats.org/spreadsheetml/2006/main" count="383" uniqueCount="253">
  <si>
    <t xml:space="preserve">Fabulate Platform Migration: Questions for Engineering</t>
  </si>
  <si>
    <t xml:space="preserve">Questions on what campaign data can move from the old platform to the new platform, and how APIs and AI can reduce CM workload.</t>
  </si>
  <si>
    <t xml:space="preserve">Instructions</t>
  </si>
  <si>
    <t xml:space="preserve">1.</t>
  </si>
  <si>
    <t xml:space="preserve">Questions tab: one row per question, grouped by section (campaigns, briefs, creators, status, comments, Vault, AI, cutover).</t>
  </si>
  <si>
    <t xml:space="preserve">2.</t>
  </si>
  <si>
    <t xml:space="preserve">Yellow columns are for the engineering/dev team to fill in: Can it be migrated?, Method, Dev answer, Effort, Owner and Follow-up notes.</t>
  </si>
  <si>
    <t xml:space="preserve">3.</t>
  </si>
  <si>
    <t xml:space="preserve">Can it be migrated? and Method use dropdowns (values are on the Lists tab and can be edited).</t>
  </si>
  <si>
    <t xml:space="preserve">4.</t>
  </si>
  <si>
    <t xml:space="preserve">Data Inventory tab lists each type of data in the old platform so dev can confirm what moves and how.</t>
  </si>
  <si>
    <t xml:space="preserve">5.</t>
  </si>
  <si>
    <t xml:space="preserve">Summary tab updates automatically as answers are filled in.</t>
  </si>
  <si>
    <t xml:space="preserve">6.</t>
  </si>
  <si>
    <t xml:space="preserve">Priority reflects impact on CM workload: High = large manual effort or risk if not migrated.</t>
  </si>
  <si>
    <t xml:space="preserve">Example of a completed answer (illustrative only, not a real answer)</t>
  </si>
  <si>
    <t xml:space="preserve">Question</t>
  </si>
  <si>
    <t xml:space="preserve">Can briefs be migrated with their full content intact?</t>
  </si>
  <si>
    <t xml:space="preserve">Can it be migrated?</t>
  </si>
  <si>
    <t xml:space="preserve">Partial</t>
  </si>
  <si>
    <t xml:space="preserve">Method</t>
  </si>
  <si>
    <t xml:space="preserve">API + AI assisted</t>
  </si>
  <si>
    <t xml:space="preserve">Dev answer</t>
  </si>
  <si>
    <t xml:space="preserve">Text fields via API. Embedded images need a separate file transfer. AI can map free text into new structured fields, CM to review.</t>
  </si>
  <si>
    <t xml:space="preserve">Effort</t>
  </si>
  <si>
    <t xml:space="preserve">M</t>
  </si>
  <si>
    <t xml:space="preserve">Owner</t>
  </si>
  <si>
    <t xml:space="preserve">Dev lead</t>
  </si>
  <si>
    <t xml:space="preserve">Follow-up / notes</t>
  </si>
  <si>
    <t xml:space="preserve">Confirm list of mandatory brief fields in new platform.</t>
  </si>
  <si>
    <t xml:space="preserve">Note</t>
  </si>
  <si>
    <t xml:space="preserve">This workbook contains no client, creator or commercial data. Treat any answers added as confidential.</t>
  </si>
  <si>
    <t xml:space="preserve">Summary</t>
  </si>
  <si>
    <t xml:space="preserve">Total questions</t>
  </si>
  <si>
    <t xml:space="preserve">Answered by dev</t>
  </si>
  <si>
    <t xml:space="preserve">% answered</t>
  </si>
  <si>
    <t xml:space="preserve">High priority questions</t>
  </si>
  <si>
    <t xml:space="preserve">Section</t>
  </si>
  <si>
    <t xml:space="preserve">Questions</t>
  </si>
  <si>
    <t xml:space="preserve">High priority</t>
  </si>
  <si>
    <t xml:space="preserve">Yes</t>
  </si>
  <si>
    <t xml:space="preserve">No</t>
  </si>
  <si>
    <t xml:space="preserve">TBC / blank</t>
  </si>
  <si>
    <t xml:space="preserve">1. Access &amp; APIs</t>
  </si>
  <si>
    <t xml:space="preserve">2. Campaigns</t>
  </si>
  <si>
    <t xml:space="preserve">3. Briefs</t>
  </si>
  <si>
    <t xml:space="preserve">4. Creators on briefs</t>
  </si>
  <si>
    <t xml:space="preserve">5. Status &amp; workflow</t>
  </si>
  <si>
    <t xml:space="preserve">6. Comments</t>
  </si>
  <si>
    <t xml:space="preserve">7. Vault (content storage)</t>
  </si>
  <si>
    <t xml:space="preserve">8. AI &amp; automation</t>
  </si>
  <si>
    <t xml:space="preserve">9. Testing &amp; cutover</t>
  </si>
  <si>
    <t xml:space="preserve">Total</t>
  </si>
  <si>
    <t xml:space="preserve">#</t>
  </si>
  <si>
    <t xml:space="preserve">Data area</t>
  </si>
  <si>
    <t xml:space="preserve">Question for engineering</t>
  </si>
  <si>
    <t xml:space="preserve">Why it matters (CM workload / risk)</t>
  </si>
  <si>
    <t xml:space="preserve">Priority</t>
  </si>
  <si>
    <t xml:space="preserve">Dev answer / detail</t>
  </si>
  <si>
    <t xml:space="preserve">Effort (S/M/L)</t>
  </si>
  <si>
    <t xml:space="preserve">Old platform</t>
  </si>
  <si>
    <t xml:space="preserve">Does the old platform have an API (internal or public) we can use to read campaign data, or do we need direct database access?</t>
  </si>
  <si>
    <t xml:space="preserve">Determines whether migration can be automated at all or falls back to manual re-entry.</t>
  </si>
  <si>
    <t xml:space="preserve">High</t>
  </si>
  <si>
    <t xml:space="preserve">Can we get a full database export or schema/data dictionary of the old platform so we know every table and field that exists?</t>
  </si>
  <si>
    <t xml:space="preserve">Lets us map fields once rather than CMs discovering gaps campaign by campaign.</t>
  </si>
  <si>
    <t xml:space="preserve">New platform</t>
  </si>
  <si>
    <t xml:space="preserve">Does the new platform have an import API or bulk import endpoint for campaigns, briefs, creators and files?</t>
  </si>
  <si>
    <t xml:space="preserve">If data can be written in via API, CMs do not need to rebuild campaigns by hand.</t>
  </si>
  <si>
    <t xml:space="preserve">Both</t>
  </si>
  <si>
    <t xml:space="preserve">Are there rate limits, authentication or permission constraints on either API that would slow a bulk migration?</t>
  </si>
  <si>
    <t xml:space="preserve">Affects how long migration takes and whether it can run overnight in batches.</t>
  </si>
  <si>
    <t xml:space="preserve">Medium</t>
  </si>
  <si>
    <t xml:space="preserve">Will record IDs (campaign, brief, creator) be preserved, or will the new platform generate new IDs? Will we keep a cross-reference of old ID to new ID?</t>
  </si>
  <si>
    <t xml:space="preserve">CMs and finance need to trace a campaign back to its history, invoices and reporting.</t>
  </si>
  <si>
    <t xml:space="preserve">Campaign record</t>
  </si>
  <si>
    <t xml:space="preserve">Which campaign fields can be migrated automatically (name, client, workspace, CM lead, dates, budget, objectives, deliverables, platforms)?</t>
  </si>
  <si>
    <t xml:space="preserve">Core set-up is the most repetitive CM task; automating it removes the bulk of re-entry.</t>
  </si>
  <si>
    <t xml:space="preserve">Are there campaign fields in the old platform that have no equivalent in the new one? What happens to that data?</t>
  </si>
  <si>
    <t xml:space="preserve">Avoids silent data loss and tells CMs what they still need to re-enter or archive.</t>
  </si>
  <si>
    <t xml:space="preserve">Can we migrate only live/active campaigns first, and archive completed ones in read-only form?</t>
  </si>
  <si>
    <t xml:space="preserve">Lets CMs focus effort on what is in flight, rather than moving historical campaigns.</t>
  </si>
  <si>
    <t xml:space="preserve">Can campaign team members, client contacts and user permissions be carried over, or do they need to be re-invited?</t>
  </si>
  <si>
    <t xml:space="preserve">Re-inviting users across many campaigns is time-consuming and error prone.</t>
  </si>
  <si>
    <t xml:space="preserve">Will historical reporting and performance data (reach, views, engagement, results) come across with the campaign?</t>
  </si>
  <si>
    <t xml:space="preserve">CMs need results for wrap reports and client conversations after migration.</t>
  </si>
  <si>
    <t xml:space="preserve">Brief content</t>
  </si>
  <si>
    <t xml:space="preserve">Can briefs be migrated with their full content intact (copy, key messages, do's and don'ts, mandatories, hashtags, links, deadlines)?</t>
  </si>
  <si>
    <t xml:space="preserve">Rewriting briefs is one of the largest manual tasks if this cannot be automated.</t>
  </si>
  <si>
    <t xml:space="preserve">Will formatting, embedded images and attachments inside briefs be preserved?</t>
  </si>
  <si>
    <t xml:space="preserve">Broken formatting means CMs have to manually check and fix every brief.</t>
  </si>
  <si>
    <t xml:space="preserve">Brief structure</t>
  </si>
  <si>
    <t xml:space="preserve">If the new platform structures briefs differently (e.g. set fields vs free text), can AI map old brief text into the new brief fields?</t>
  </si>
  <si>
    <t xml:space="preserve">AI mapping could pre-fill new briefs so CMs only review rather than rebuild.</t>
  </si>
  <si>
    <t xml:space="preserve">Brief versions</t>
  </si>
  <si>
    <t xml:space="preserve">Is brief version history or the brief approval trail stored, and can it be migrated?</t>
  </si>
  <si>
    <t xml:space="preserve">Needed if there is ever a dispute about what a creator was briefed on.</t>
  </si>
  <si>
    <t xml:space="preserve">Low</t>
  </si>
  <si>
    <t xml:space="preserve">Brief links</t>
  </si>
  <si>
    <t xml:space="preserve">Will the link between each brief and its campaign be maintained automatically?</t>
  </si>
  <si>
    <t xml:space="preserve">Prevents orphaned briefs that CMs have to re-attach by hand.</t>
  </si>
  <si>
    <t xml:space="preserve">Creator records</t>
  </si>
  <si>
    <t xml:space="preserve">Can creator profiles be migrated (name, handles, platforms, contact details, audience data, rates, payment details)?</t>
  </si>
  <si>
    <t xml:space="preserve">Re-adding creators is repetitive; also involves personal information under the Privacy Act.</t>
  </si>
  <si>
    <t xml:space="preserve">How will we de-duplicate creators who appear on multiple campaigns or exist already in the new platform?</t>
  </si>
  <si>
    <t xml:space="preserve">Duplicates create confusion for CMs and risk incorrect payments.</t>
  </si>
  <si>
    <t xml:space="preserve">Creator to brief link</t>
  </si>
  <si>
    <t xml:space="preserve">Will each creator's link to the specific brief(s) and campaign(s) they are on be preserved?</t>
  </si>
  <si>
    <t xml:space="preserve">This relationship is what CMs most need to keep working without disruption.</t>
  </si>
  <si>
    <t xml:space="preserve">Creator agreements</t>
  </si>
  <si>
    <t xml:space="preserve">Can agreed deliverables, fees, usage rights, exclusivity and contract/T&amp;C acceptance per creator per brief be migrated?</t>
  </si>
  <si>
    <t xml:space="preserve">Commercial terms must be accurate; re-entering them manually risks errors.</t>
  </si>
  <si>
    <t xml:space="preserve">Creator access</t>
  </si>
  <si>
    <t xml:space="preserve">Will creators need to re-register or re-accept anything on the new platform? Can we pre-create their accounts?</t>
  </si>
  <si>
    <t xml:space="preserve">Reduces CM chasing and creator confusion during cutover.</t>
  </si>
  <si>
    <t xml:space="preserve">Privacy &amp; consent</t>
  </si>
  <si>
    <t xml:space="preserve">How will personal and payment information be transferred and stored securely, and is creator consent needed for the move?</t>
  </si>
  <si>
    <t xml:space="preserve">Compliance with the Australian Privacy Act and local laws in SEA markets.</t>
  </si>
  <si>
    <t xml:space="preserve">Status mapping</t>
  </si>
  <si>
    <t xml:space="preserve">Can each creator's current stage (e.g. invited, accepted, briefed, draft submitted, in review, approved, live, paid) be migrated?</t>
  </si>
  <si>
    <t xml:space="preserve">If status is lost, CMs must manually reconstruct where every creator is up to.</t>
  </si>
  <si>
    <t xml:space="preserve">Do the old and new platforms use the same status stages? If not, can we agree a status mapping table before migration?</t>
  </si>
  <si>
    <t xml:space="preserve">A clear mapping avoids creators landing in the wrong stage.</t>
  </si>
  <si>
    <t xml:space="preserve">In-flight items</t>
  </si>
  <si>
    <t xml:space="preserve">How will in-flight items be handled mid-migration (drafts awaiting review, pending approvals, scheduled posts, unpaid invoices)?</t>
  </si>
  <si>
    <t xml:space="preserve">These are the highest risk items for missed deadlines and payments.</t>
  </si>
  <si>
    <t xml:space="preserve">Dates &amp; history</t>
  </si>
  <si>
    <t xml:space="preserve">Will due dates, submission dates, approval dates and the activity/audit history come across?</t>
  </si>
  <si>
    <t xml:space="preserve">CMs rely on dates to chase creators and report timelines to clients.</t>
  </si>
  <si>
    <t xml:space="preserve">Payments</t>
  </si>
  <si>
    <t xml:space="preserve">Will payment and invoice status per creator be migrated, and how does this connect to finance/Xero?</t>
  </si>
  <si>
    <t xml:space="preserve">Avoids double payments or missed payments during the transition.</t>
  </si>
  <si>
    <t xml:space="preserve">Freeze period</t>
  </si>
  <si>
    <t xml:space="preserve">Is there a freeze period where CMs should not update the old platform? How will changes made during migration be captured?</t>
  </si>
  <si>
    <t xml:space="preserve">Prevents work being lost between export and go-live.</t>
  </si>
  <si>
    <t xml:space="preserve">Comment threads</t>
  </si>
  <si>
    <t xml:space="preserve">Can comment threads on briefs and content submissions be migrated, keeping author, timestamp and order?</t>
  </si>
  <si>
    <t xml:space="preserve">Comments hold feedback and approvals CMs need to reference.</t>
  </si>
  <si>
    <t xml:space="preserve">Will comments stay attached to the specific creator, brief or piece of content they relate to?</t>
  </si>
  <si>
    <t xml:space="preserve">Comments without context are of little use to CMs.</t>
  </si>
  <si>
    <t xml:space="preserve">Attachments in comments</t>
  </si>
  <si>
    <t xml:space="preserve">Can files, images, videos and links shared within comments be migrated along with the comment?</t>
  </si>
  <si>
    <t xml:space="preserve">Feedback often lives in attachments, not just text.</t>
  </si>
  <si>
    <t xml:space="preserve">AI summary</t>
  </si>
  <si>
    <t xml:space="preserve">If full comment history cannot be migrated, could AI generate a summary of each thread (key feedback, approvals, open actions) to attach in the new platform?</t>
  </si>
  <si>
    <t xml:space="preserve">Gives CMs the essentials without moving every message.</t>
  </si>
  <si>
    <t xml:space="preserve">Client vs internal</t>
  </si>
  <si>
    <t xml:space="preserve">Are internal and client-facing comments separated in the old platform, and will that visibility be preserved?</t>
  </si>
  <si>
    <t xml:space="preserve">Protects confidentiality so internal notes are not exposed to clients or creators.</t>
  </si>
  <si>
    <t xml:space="preserve">Files</t>
  </si>
  <si>
    <t xml:space="preserve">Can all Vault files (videos, images, concepts, drafts, final assets) be bulk transferred via API or storage-to-storage copy?</t>
  </si>
  <si>
    <t xml:space="preserve">Manually downloading and re-uploading video is the most time-consuming CM task.</t>
  </si>
  <si>
    <t xml:space="preserve">What is the total storage volume, and are there file size or format limits on the new platform?</t>
  </si>
  <si>
    <t xml:space="preserve">Identifies files that may fail to upload and need manual handling.</t>
  </si>
  <si>
    <t xml:space="preserve">Metadata</t>
  </si>
  <si>
    <t xml:space="preserve">Will file metadata come across (creator, campaign, brief, version, upload date, approval status, captions)?</t>
  </si>
  <si>
    <t xml:space="preserve">Files without metadata have to be re-sorted manually by CMs.</t>
  </si>
  <si>
    <t xml:space="preserve">Versions</t>
  </si>
  <si>
    <t xml:space="preserve">Will draft versions and final approved versions be kept and clearly labelled?</t>
  </si>
  <si>
    <t xml:space="preserve">CMs and clients need to know which version was approved.</t>
  </si>
  <si>
    <t xml:space="preserve">Usage rights</t>
  </si>
  <si>
    <t xml:space="preserve">Can usage rights, licensing periods and expiry dates linked to content be migrated?</t>
  </si>
  <si>
    <t xml:space="preserve">Avoids clients using content outside of agreed rights.</t>
  </si>
  <si>
    <t xml:space="preserve">AI tagging</t>
  </si>
  <si>
    <t xml:space="preserve">Could AI auto-tag or categorise Vault content (creator, brand, product, concept, platform format) on import?</t>
  </si>
  <si>
    <t xml:space="preserve">Makes content searchable without CMs tagging files manually.</t>
  </si>
  <si>
    <t xml:space="preserve">Live post links</t>
  </si>
  <si>
    <t xml:space="preserve">Will links to live posts and any captured screenshots or proof of posting be migrated?</t>
  </si>
  <si>
    <t xml:space="preserve">Needed for reporting and as proof of delivery for payments.</t>
  </si>
  <si>
    <t xml:space="preserve">Approach</t>
  </si>
  <si>
    <t xml:space="preserve">Which parts of the migration can be fully automated, which can be AI-assisted with CM review, and which must be manual?</t>
  </si>
  <si>
    <t xml:space="preserve">Gives CMs a clear picture of their workload and lets us plan resourcing.</t>
  </si>
  <si>
    <t xml:space="preserve">Unstructured data</t>
  </si>
  <si>
    <t xml:space="preserve">Can AI be used to extract structured data from unstructured content (PDF briefs, emails, notes, comments) into new platform fields?</t>
  </si>
  <si>
    <t xml:space="preserve">Turns manual reading and re-typing into a quick review step.</t>
  </si>
  <si>
    <t xml:space="preserve">Accuracy</t>
  </si>
  <si>
    <t xml:space="preserve">How will AI-migrated data be checked for accuracy? Will there be confidence scores or a flag for records that need human review?</t>
  </si>
  <si>
    <t xml:space="preserve">CMs can focus review effort only where it is needed.</t>
  </si>
  <si>
    <t xml:space="preserve">Data safety</t>
  </si>
  <si>
    <t xml:space="preserve">Which AI tools or models would process our data, and is client and creator data kept confidential and in an approved region?</t>
  </si>
  <si>
    <t xml:space="preserve">Confidentiality obligations to clients and privacy compliance.</t>
  </si>
  <si>
    <t xml:space="preserve">Self-serve</t>
  </si>
  <si>
    <t xml:space="preserve">Could CMs trigger a migration of a single campaign themselves (e.g. a 'migrate this campaign' button or script)?</t>
  </si>
  <si>
    <t xml:space="preserve">Lets CMs migrate on their own timeline without waiting on dev.</t>
  </si>
  <si>
    <t xml:space="preserve">Pilot</t>
  </si>
  <si>
    <t xml:space="preserve">Can we run a pilot migration on one or two campaigns first so CMs can check the result before a full rollout?</t>
  </si>
  <si>
    <t xml:space="preserve">Catches problems early before they affect every campaign.</t>
  </si>
  <si>
    <t xml:space="preserve">Validation</t>
  </si>
  <si>
    <t xml:space="preserve">Will there be a migration report showing record counts, what moved, what failed and what needs manual action?</t>
  </si>
  <si>
    <t xml:space="preserve">CMs get a clear checklist instead of hunting for gaps.</t>
  </si>
  <si>
    <t xml:space="preserve">Rollback</t>
  </si>
  <si>
    <t xml:space="preserve">If something goes wrong, can we roll back or re-run the migration for a campaign?</t>
  </si>
  <si>
    <t xml:space="preserve">Reduces risk of losing work mid-campaign.</t>
  </si>
  <si>
    <t xml:space="preserve">Old platform access</t>
  </si>
  <si>
    <t xml:space="preserve">How long will the old platform remain accessible (read-only) after migration?</t>
  </si>
  <si>
    <t xml:space="preserve">CMs need a fallback to check history during the transition.</t>
  </si>
  <si>
    <t xml:space="preserve">Timeline</t>
  </si>
  <si>
    <t xml:space="preserve">What is the expected timeline and sequence (by workspace, by client, by campaign status), and what do CMs need to do at each stage?</t>
  </si>
  <si>
    <t xml:space="preserve">Lets CMs plan around client deadlines and live campaigns.</t>
  </si>
  <si>
    <t xml:space="preserve">Comms</t>
  </si>
  <si>
    <t xml:space="preserve">Will clients and creators be notified of the move, and who is responsible for that communication?</t>
  </si>
  <si>
    <t xml:space="preserve">Avoids CMs fielding confused enquiries.</t>
  </si>
  <si>
    <t xml:space="preserve">Data object</t>
  </si>
  <si>
    <t xml:space="preserve">What it includes (to confirm with dev)</t>
  </si>
  <si>
    <t xml:space="preserve">Lives in</t>
  </si>
  <si>
    <t xml:space="preserve">Migrate?</t>
  </si>
  <si>
    <t xml:space="preserve">Approx. volume</t>
  </si>
  <si>
    <t xml:space="preserve">Notes</t>
  </si>
  <si>
    <t xml:space="preserve">Campaign</t>
  </si>
  <si>
    <t xml:space="preserve">Name, client, workspace, CM lead, team members, dates, budget, objectives, deliverables, platforms</t>
  </si>
  <si>
    <t xml:space="preserve">Campaigns</t>
  </si>
  <si>
    <t xml:space="preserve">Brief</t>
  </si>
  <si>
    <t xml:space="preserve">Brief copy, key messages, mandatories, do's and don'ts, hashtags/handles, links, deadlines, attachments, versions</t>
  </si>
  <si>
    <t xml:space="preserve">Briefs</t>
  </si>
  <si>
    <t xml:space="preserve">Creator profile</t>
  </si>
  <si>
    <t xml:space="preserve">Name, social handles, platforms, contact details, audience data, rates, payment details</t>
  </si>
  <si>
    <t xml:space="preserve">Creators</t>
  </si>
  <si>
    <t xml:space="preserve">Creator to brief assignment</t>
  </si>
  <si>
    <t xml:space="preserve">Which creators are on which brief/campaign, deliverables, agreed fee, usage rights, exclusivity, T&amp;C acceptance</t>
  </si>
  <si>
    <t xml:space="preserve">Briefs / Creators</t>
  </si>
  <si>
    <t xml:space="preserve">Workflow status</t>
  </si>
  <si>
    <t xml:space="preserve">Current stage per creator per brief, due dates, submission and approval dates, activity log</t>
  </si>
  <si>
    <t xml:space="preserve">Campaign workflow</t>
  </si>
  <si>
    <t xml:space="preserve">Payments / invoices</t>
  </si>
  <si>
    <t xml:space="preserve">Payment status per creator, invoice references, amounts, paid dates</t>
  </si>
  <si>
    <t xml:space="preserve">Comments</t>
  </si>
  <si>
    <t xml:space="preserve">Comment threads on briefs and submissions, author, timestamp, internal vs external visibility, attachments</t>
  </si>
  <si>
    <t xml:space="preserve">Comments section</t>
  </si>
  <si>
    <t xml:space="preserve">Vault: content files</t>
  </si>
  <si>
    <t xml:space="preserve">Videos, images, concepts, drafts, final approved assets</t>
  </si>
  <si>
    <t xml:space="preserve">Vault</t>
  </si>
  <si>
    <t xml:space="preserve">Vault: file metadata</t>
  </si>
  <si>
    <t xml:space="preserve">Creator, campaign, brief, version, upload date, approval status, captions, usage rights and expiry</t>
  </si>
  <si>
    <t xml:space="preserve">Live posts &amp; proof of posting</t>
  </si>
  <si>
    <t xml:space="preserve">Live post URLs, screenshots, posting dates</t>
  </si>
  <si>
    <t xml:space="preserve">Campaign / Vault</t>
  </si>
  <si>
    <t xml:space="preserve">Reporting &amp; results</t>
  </si>
  <si>
    <t xml:space="preserve">Reach, views, engagement and other performance data, wrap reports</t>
  </si>
  <si>
    <t xml:space="preserve">Reporting</t>
  </si>
  <si>
    <t xml:space="preserve">Users &amp; permissions</t>
  </si>
  <si>
    <t xml:space="preserve">Internal users, client users, creator accounts, roles and access levels</t>
  </si>
  <si>
    <t xml:space="preserve">Admin / Settings</t>
  </si>
  <si>
    <t xml:space="preserve">Fields listed are a starting point based on CM knowledge of the old platform. Dev to confirm against the actual database schema.</t>
  </si>
  <si>
    <t xml:space="preserve">Dropdown options (edit these to match what the team agrees)</t>
  </si>
  <si>
    <t xml:space="preserve">API</t>
  </si>
  <si>
    <t xml:space="preserve">S</t>
  </si>
  <si>
    <t xml:space="preserve">Database export</t>
  </si>
  <si>
    <t xml:space="preserve">AI assisted</t>
  </si>
  <si>
    <t xml:space="preserve">L</t>
  </si>
  <si>
    <t xml:space="preserve">TBC</t>
  </si>
  <si>
    <t xml:space="preserve">File transfer</t>
  </si>
  <si>
    <t xml:space="preserve">Manual (CM)</t>
  </si>
  <si>
    <t xml:space="preserve">Not migrating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</si>
</sst>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26.85" hidden="false" customHeight="false" outlineLevel="0" collapsed="false">
      <c r="A5" s="5" t="s">
        <v>3</v>
      </c>
      <c r="B5" s="4" t="s">
        <v>4</v>
      </c>
    </row>
    <row r="6" customFormat="false" ht="26.85" hidden="false" customHeight="false" outlineLevel="0" collapsed="false">
      <c r="A6" s="5" t="s">
        <v>5</v>
      </c>
      <c r="B6" s="4" t="s">
        <v>6</v>
      </c>
    </row>
    <row r="7" customFormat="false" ht="15" hidden="false" customHeight="false" outlineLevel="0" collapsed="false">
      <c r="A7" s="5" t="s">
        <v>7</v>
      </c>
      <c r="B7" s="4" t="s">
        <v>8</v>
      </c>
    </row>
    <row r="8" customFormat="false" ht="15" hidden="false" customHeight="false" outlineLevel="0" collapsed="false">
      <c r="A8" s="5" t="s">
        <v>9</v>
      </c>
      <c r="B8" s="4" t="s">
        <v>10</v>
      </c>
    </row>
    <row r="9" customFormat="false" ht="15" hidden="false" customHeight="false" outlineLevel="0" collapsed="false">
      <c r="A9" s="5" t="s">
        <v>11</v>
      </c>
      <c r="B9" s="4" t="s">
        <v>12</v>
      </c>
    </row>
    <row r="10" customFormat="false" ht="15" hidden="false" customHeight="false" outlineLevel="0" collapsed="false">
      <c r="A10" s="5" t="s">
        <v>13</v>
      </c>
      <c r="B10" s="4" t="s">
        <v>14</v>
      </c>
    </row>
    <row r="11" customFormat="false" ht="15" hidden="false" customHeight="false" outlineLevel="0" collapsed="false">
      <c r="A11" s="5"/>
      <c r="B11" s="4"/>
    </row>
    <row r="12" customFormat="false" ht="15" hidden="false" customHeight="false" outlineLevel="0" collapsed="false">
      <c r="A12" s="3" t="s">
        <v>15</v>
      </c>
      <c r="B12" s="4"/>
    </row>
    <row r="13" customFormat="false" ht="15" hidden="false" customHeight="false" outlineLevel="0" collapsed="false">
      <c r="A13" s="5" t="s">
        <v>16</v>
      </c>
      <c r="B13" s="6" t="s">
        <v>17</v>
      </c>
    </row>
    <row r="14" customFormat="false" ht="15" hidden="false" customHeight="false" outlineLevel="0" collapsed="false">
      <c r="A14" s="5" t="s">
        <v>18</v>
      </c>
      <c r="B14" s="6" t="s">
        <v>19</v>
      </c>
    </row>
    <row r="15" customFormat="false" ht="15" hidden="false" customHeight="false" outlineLevel="0" collapsed="false">
      <c r="A15" s="5" t="s">
        <v>20</v>
      </c>
      <c r="B15" s="6" t="s">
        <v>21</v>
      </c>
    </row>
    <row r="16" customFormat="false" ht="26.85" hidden="false" customHeight="false" outlineLevel="0" collapsed="false">
      <c r="A16" s="5" t="s">
        <v>22</v>
      </c>
      <c r="B16" s="6" t="s">
        <v>23</v>
      </c>
    </row>
    <row r="17" customFormat="false" ht="15" hidden="false" customHeight="false" outlineLevel="0" collapsed="false">
      <c r="A17" s="5" t="s">
        <v>24</v>
      </c>
      <c r="B17" s="6" t="s">
        <v>25</v>
      </c>
    </row>
    <row r="18" customFormat="false" ht="15" hidden="false" customHeight="false" outlineLevel="0" collapsed="false">
      <c r="A18" s="5" t="s">
        <v>26</v>
      </c>
      <c r="B18" s="6" t="s">
        <v>27</v>
      </c>
    </row>
    <row r="19" customFormat="false" ht="15" hidden="false" customHeight="false" outlineLevel="0" collapsed="false">
      <c r="A19" s="5" t="s">
        <v>28</v>
      </c>
      <c r="B19" s="6" t="s">
        <v>29</v>
      </c>
    </row>
    <row r="20" customFormat="false" ht="15" hidden="false" customHeight="false" outlineLevel="0" collapsed="false">
      <c r="A20" s="5"/>
      <c r="B20" s="4"/>
    </row>
    <row r="21" customFormat="false" ht="15" hidden="false" customHeight="false" outlineLevel="0" collapsed="false">
      <c r="A21" s="5" t="s">
        <v>30</v>
      </c>
      <c r="B21" s="4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4"/>
  </cols>
  <sheetData>
    <row r="1" customFormat="false" ht="17.35" hidden="false" customHeight="false" outlineLevel="0" collapsed="false">
      <c r="A1" s="1" t="s">
        <v>32</v>
      </c>
    </row>
    <row r="3" customFormat="false" ht="15" hidden="false" customHeight="false" outlineLevel="0" collapsed="false">
      <c r="A3" s="5" t="s">
        <v>33</v>
      </c>
      <c r="B3" s="7" t="n">
        <f aca="false">COUNTA(Questions!$D$2:$D$51)</f>
        <v>50</v>
      </c>
    </row>
    <row r="4" customFormat="false" ht="15" hidden="false" customHeight="false" outlineLevel="0" collapsed="false">
      <c r="A4" s="5" t="s">
        <v>34</v>
      </c>
      <c r="B4" s="7" t="n">
        <f aca="false">COUNTA(Questions!$I$2:$I$51)</f>
        <v>0</v>
      </c>
    </row>
    <row r="5" customFormat="false" ht="15" hidden="false" customHeight="false" outlineLevel="0" collapsed="false">
      <c r="A5" s="5" t="s">
        <v>35</v>
      </c>
      <c r="B5" s="8" t="n">
        <f aca="false">IF(B3=0,0,B4/B3)</f>
        <v>0</v>
      </c>
    </row>
    <row r="6" customFormat="false" ht="15" hidden="false" customHeight="false" outlineLevel="0" collapsed="false">
      <c r="A6" s="5" t="s">
        <v>36</v>
      </c>
      <c r="B6" s="7" t="n">
        <f aca="false">COUNTIF(Questions!$F$2:$F$51,"High")</f>
        <v>33</v>
      </c>
    </row>
    <row r="8" customFormat="false" ht="15" hidden="false" customHeight="false" outlineLevel="0" collapsed="false">
      <c r="A8" s="9" t="s">
        <v>37</v>
      </c>
      <c r="B8" s="9" t="s">
        <v>38</v>
      </c>
      <c r="C8" s="9" t="s">
        <v>39</v>
      </c>
      <c r="D8" s="9" t="s">
        <v>40</v>
      </c>
      <c r="E8" s="9" t="s">
        <v>19</v>
      </c>
      <c r="F8" s="9" t="s">
        <v>41</v>
      </c>
      <c r="G8" s="9" t="s">
        <v>42</v>
      </c>
    </row>
    <row r="9" customFormat="false" ht="15" hidden="false" customHeight="false" outlineLevel="0" collapsed="false">
      <c r="A9" s="10" t="s">
        <v>43</v>
      </c>
      <c r="B9" s="10" t="n">
        <f aca="false">COUNTIF(Questions!$B$2:$B$51,$A9)</f>
        <v>5</v>
      </c>
      <c r="C9" s="10" t="n">
        <f aca="false">COUNTIFS(Questions!$B$2:$B$51,$A9,Questions!$F$2:$F$51,"High")</f>
        <v>4</v>
      </c>
      <c r="D9" s="10" t="n">
        <f aca="false">COUNTIFS(Questions!$B$2:$B$51,$A9,Questions!$G$2:$G$51,"Yes")</f>
        <v>0</v>
      </c>
      <c r="E9" s="10" t="n">
        <f aca="false">COUNTIFS(Questions!$B$2:$B$51,$A9,Questions!$G$2:$G$51,"Partial")</f>
        <v>0</v>
      </c>
      <c r="F9" s="10" t="n">
        <f aca="false">COUNTIFS(Questions!$B$2:$B$51,$A9,Questions!$G$2:$G$51,"No")</f>
        <v>0</v>
      </c>
      <c r="G9" s="10" t="n">
        <f aca="false">B9-D9-E9-F9</f>
        <v>5</v>
      </c>
    </row>
    <row r="10" customFormat="false" ht="15" hidden="false" customHeight="false" outlineLevel="0" collapsed="false">
      <c r="A10" s="10" t="s">
        <v>44</v>
      </c>
      <c r="B10" s="10" t="n">
        <f aca="false">COUNTIF(Questions!$B$2:$B$51,$A10)</f>
        <v>5</v>
      </c>
      <c r="C10" s="10" t="n">
        <f aca="false">COUNTIFS(Questions!$B$2:$B$51,$A10,Questions!$F$2:$F$51,"High")</f>
        <v>3</v>
      </c>
      <c r="D10" s="10" t="n">
        <f aca="false">COUNTIFS(Questions!$B$2:$B$51,$A10,Questions!$G$2:$G$51,"Yes")</f>
        <v>0</v>
      </c>
      <c r="E10" s="10" t="n">
        <f aca="false">COUNTIFS(Questions!$B$2:$B$51,$A10,Questions!$G$2:$G$51,"Partial")</f>
        <v>0</v>
      </c>
      <c r="F10" s="10" t="n">
        <f aca="false">COUNTIFS(Questions!$B$2:$B$51,$A10,Questions!$G$2:$G$51,"No")</f>
        <v>0</v>
      </c>
      <c r="G10" s="10" t="n">
        <f aca="false">B10-D10-E10-F10</f>
        <v>5</v>
      </c>
    </row>
    <row r="11" customFormat="false" ht="15" hidden="false" customHeight="false" outlineLevel="0" collapsed="false">
      <c r="A11" s="10" t="s">
        <v>45</v>
      </c>
      <c r="B11" s="10" t="n">
        <f aca="false">COUNTIF(Questions!$B$2:$B$51,$A11)</f>
        <v>5</v>
      </c>
      <c r="C11" s="10" t="n">
        <f aca="false">COUNTIFS(Questions!$B$2:$B$51,$A11,Questions!$F$2:$F$51,"High")</f>
        <v>3</v>
      </c>
      <c r="D11" s="10" t="n">
        <f aca="false">COUNTIFS(Questions!$B$2:$B$51,$A11,Questions!$G$2:$G$51,"Yes")</f>
        <v>0</v>
      </c>
      <c r="E11" s="10" t="n">
        <f aca="false">COUNTIFS(Questions!$B$2:$B$51,$A11,Questions!$G$2:$G$51,"Partial")</f>
        <v>0</v>
      </c>
      <c r="F11" s="10" t="n">
        <f aca="false">COUNTIFS(Questions!$B$2:$B$51,$A11,Questions!$G$2:$G$51,"No")</f>
        <v>0</v>
      </c>
      <c r="G11" s="10" t="n">
        <f aca="false">B11-D11-E11-F11</f>
        <v>5</v>
      </c>
    </row>
    <row r="12" customFormat="false" ht="15" hidden="false" customHeight="false" outlineLevel="0" collapsed="false">
      <c r="A12" s="10" t="s">
        <v>46</v>
      </c>
      <c r="B12" s="10" t="n">
        <f aca="false">COUNTIF(Questions!$B$2:$B$51,$A12)</f>
        <v>6</v>
      </c>
      <c r="C12" s="10" t="n">
        <f aca="false">COUNTIFS(Questions!$B$2:$B$51,$A12,Questions!$F$2:$F$51,"High")</f>
        <v>5</v>
      </c>
      <c r="D12" s="10" t="n">
        <f aca="false">COUNTIFS(Questions!$B$2:$B$51,$A12,Questions!$G$2:$G$51,"Yes")</f>
        <v>0</v>
      </c>
      <c r="E12" s="10" t="n">
        <f aca="false">COUNTIFS(Questions!$B$2:$B$51,$A12,Questions!$G$2:$G$51,"Partial")</f>
        <v>0</v>
      </c>
      <c r="F12" s="10" t="n">
        <f aca="false">COUNTIFS(Questions!$B$2:$B$51,$A12,Questions!$G$2:$G$51,"No")</f>
        <v>0</v>
      </c>
      <c r="G12" s="10" t="n">
        <f aca="false">B12-D12-E12-F12</f>
        <v>6</v>
      </c>
    </row>
    <row r="13" customFormat="false" ht="15" hidden="false" customHeight="false" outlineLevel="0" collapsed="false">
      <c r="A13" s="10" t="s">
        <v>47</v>
      </c>
      <c r="B13" s="10" t="n">
        <f aca="false">COUNTIF(Questions!$B$2:$B$51,$A13)</f>
        <v>6</v>
      </c>
      <c r="C13" s="10" t="n">
        <f aca="false">COUNTIFS(Questions!$B$2:$B$51,$A13,Questions!$F$2:$F$51,"High")</f>
        <v>5</v>
      </c>
      <c r="D13" s="10" t="n">
        <f aca="false">COUNTIFS(Questions!$B$2:$B$51,$A13,Questions!$G$2:$G$51,"Yes")</f>
        <v>0</v>
      </c>
      <c r="E13" s="10" t="n">
        <f aca="false">COUNTIFS(Questions!$B$2:$B$51,$A13,Questions!$G$2:$G$51,"Partial")</f>
        <v>0</v>
      </c>
      <c r="F13" s="10" t="n">
        <f aca="false">COUNTIFS(Questions!$B$2:$B$51,$A13,Questions!$G$2:$G$51,"No")</f>
        <v>0</v>
      </c>
      <c r="G13" s="10" t="n">
        <f aca="false">B13-D13-E13-F13</f>
        <v>6</v>
      </c>
    </row>
    <row r="14" customFormat="false" ht="15" hidden="false" customHeight="false" outlineLevel="0" collapsed="false">
      <c r="A14" s="10" t="s">
        <v>48</v>
      </c>
      <c r="B14" s="10" t="n">
        <f aca="false">COUNTIF(Questions!$B$2:$B$51,$A14)</f>
        <v>5</v>
      </c>
      <c r="C14" s="10" t="n">
        <f aca="false">COUNTIFS(Questions!$B$2:$B$51,$A14,Questions!$F$2:$F$51,"High")</f>
        <v>3</v>
      </c>
      <c r="D14" s="10" t="n">
        <f aca="false">COUNTIFS(Questions!$B$2:$B$51,$A14,Questions!$G$2:$G$51,"Yes")</f>
        <v>0</v>
      </c>
      <c r="E14" s="10" t="n">
        <f aca="false">COUNTIFS(Questions!$B$2:$B$51,$A14,Questions!$G$2:$G$51,"Partial")</f>
        <v>0</v>
      </c>
      <c r="F14" s="10" t="n">
        <f aca="false">COUNTIFS(Questions!$B$2:$B$51,$A14,Questions!$G$2:$G$51,"No")</f>
        <v>0</v>
      </c>
      <c r="G14" s="10" t="n">
        <f aca="false">B14-D14-E14-F14</f>
        <v>5</v>
      </c>
    </row>
    <row r="15" customFormat="false" ht="15" hidden="false" customHeight="false" outlineLevel="0" collapsed="false">
      <c r="A15" s="10" t="s">
        <v>49</v>
      </c>
      <c r="B15" s="10" t="n">
        <f aca="false">COUNTIF(Questions!$B$2:$B$51,$A15)</f>
        <v>7</v>
      </c>
      <c r="C15" s="10" t="n">
        <f aca="false">COUNTIFS(Questions!$B$2:$B$51,$A15,Questions!$F$2:$F$51,"High")</f>
        <v>3</v>
      </c>
      <c r="D15" s="10" t="n">
        <f aca="false">COUNTIFS(Questions!$B$2:$B$51,$A15,Questions!$G$2:$G$51,"Yes")</f>
        <v>0</v>
      </c>
      <c r="E15" s="10" t="n">
        <f aca="false">COUNTIFS(Questions!$B$2:$B$51,$A15,Questions!$G$2:$G$51,"Partial")</f>
        <v>0</v>
      </c>
      <c r="F15" s="10" t="n">
        <f aca="false">COUNTIFS(Questions!$B$2:$B$51,$A15,Questions!$G$2:$G$51,"No")</f>
        <v>0</v>
      </c>
      <c r="G15" s="10" t="n">
        <f aca="false">B15-D15-E15-F15</f>
        <v>7</v>
      </c>
    </row>
    <row r="16" customFormat="false" ht="15" hidden="false" customHeight="false" outlineLevel="0" collapsed="false">
      <c r="A16" s="10" t="s">
        <v>50</v>
      </c>
      <c r="B16" s="10" t="n">
        <f aca="false">COUNTIF(Questions!$B$2:$B$51,$A16)</f>
        <v>5</v>
      </c>
      <c r="C16" s="10" t="n">
        <f aca="false">COUNTIFS(Questions!$B$2:$B$51,$A16,Questions!$F$2:$F$51,"High")</f>
        <v>4</v>
      </c>
      <c r="D16" s="10" t="n">
        <f aca="false">COUNTIFS(Questions!$B$2:$B$51,$A16,Questions!$G$2:$G$51,"Yes")</f>
        <v>0</v>
      </c>
      <c r="E16" s="10" t="n">
        <f aca="false">COUNTIFS(Questions!$B$2:$B$51,$A16,Questions!$G$2:$G$51,"Partial")</f>
        <v>0</v>
      </c>
      <c r="F16" s="10" t="n">
        <f aca="false">COUNTIFS(Questions!$B$2:$B$51,$A16,Questions!$G$2:$G$51,"No")</f>
        <v>0</v>
      </c>
      <c r="G16" s="10" t="n">
        <f aca="false">B16-D16-E16-F16</f>
        <v>5</v>
      </c>
    </row>
    <row r="17" customFormat="false" ht="15" hidden="false" customHeight="false" outlineLevel="0" collapsed="false">
      <c r="A17" s="10" t="s">
        <v>51</v>
      </c>
      <c r="B17" s="10" t="n">
        <f aca="false">COUNTIF(Questions!$B$2:$B$51,$A17)</f>
        <v>6</v>
      </c>
      <c r="C17" s="10" t="n">
        <f aca="false">COUNTIFS(Questions!$B$2:$B$51,$A17,Questions!$F$2:$F$51,"High")</f>
        <v>3</v>
      </c>
      <c r="D17" s="10" t="n">
        <f aca="false">COUNTIFS(Questions!$B$2:$B$51,$A17,Questions!$G$2:$G$51,"Yes")</f>
        <v>0</v>
      </c>
      <c r="E17" s="10" t="n">
        <f aca="false">COUNTIFS(Questions!$B$2:$B$51,$A17,Questions!$G$2:$G$51,"Partial")</f>
        <v>0</v>
      </c>
      <c r="F17" s="10" t="n">
        <f aca="false">COUNTIFS(Questions!$B$2:$B$51,$A17,Questions!$G$2:$G$51,"No")</f>
        <v>0</v>
      </c>
      <c r="G17" s="10" t="n">
        <f aca="false">B17-D17-E17-F17</f>
        <v>6</v>
      </c>
    </row>
    <row r="18" customFormat="false" ht="15" hidden="false" customHeight="false" outlineLevel="0" collapsed="false">
      <c r="A18" s="11" t="s">
        <v>52</v>
      </c>
      <c r="B18" s="11" t="n">
        <f aca="false">SUM(B9:B17)</f>
        <v>50</v>
      </c>
      <c r="C18" s="11" t="n">
        <f aca="false">SUM(C9:C17)</f>
        <v>33</v>
      </c>
      <c r="D18" s="11" t="n">
        <f aca="false">SUM(D9:D17)</f>
        <v>0</v>
      </c>
      <c r="E18" s="11" t="n">
        <f aca="false">SUM(E9:E17)</f>
        <v>0</v>
      </c>
      <c r="F18" s="11" t="n">
        <f aca="false">SUM(F9:F17)</f>
        <v>0</v>
      </c>
      <c r="G18" s="11" t="n">
        <f aca="false">SUM(G9:G17)</f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20"/>
    <col collapsed="false" customWidth="true" hidden="false" outlineLevel="0" max="4" min="4" style="0" width="60"/>
    <col collapsed="false" customWidth="true" hidden="false" outlineLevel="0" max="5" min="5" style="0" width="45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50"/>
    <col collapsed="false" customWidth="true" hidden="false" outlineLevel="0" max="10" min="10" style="0" width="10"/>
    <col collapsed="false" customWidth="true" hidden="false" outlineLevel="0" max="11" min="11" style="0" width="14"/>
    <col collapsed="false" customWidth="true" hidden="false" outlineLevel="0" max="12" min="12" style="0" width="35"/>
  </cols>
  <sheetData>
    <row r="1" customFormat="false" ht="31.5" hidden="false" customHeight="true" outlineLevel="0" collapsed="false">
      <c r="A1" s="12" t="s">
        <v>53</v>
      </c>
      <c r="B1" s="12" t="s">
        <v>37</v>
      </c>
      <c r="C1" s="12" t="s">
        <v>54</v>
      </c>
      <c r="D1" s="12" t="s">
        <v>55</v>
      </c>
      <c r="E1" s="12" t="s">
        <v>56</v>
      </c>
      <c r="F1" s="12" t="s">
        <v>57</v>
      </c>
      <c r="G1" s="12" t="s">
        <v>18</v>
      </c>
      <c r="H1" s="12" t="s">
        <v>20</v>
      </c>
      <c r="I1" s="12" t="s">
        <v>58</v>
      </c>
      <c r="J1" s="12" t="s">
        <v>59</v>
      </c>
      <c r="K1" s="12" t="s">
        <v>26</v>
      </c>
      <c r="L1" s="12" t="s">
        <v>28</v>
      </c>
    </row>
    <row r="2" customFormat="false" ht="39.55" hidden="false" customHeight="false" outlineLevel="0" collapsed="false">
      <c r="A2" s="13" t="n">
        <v>1</v>
      </c>
      <c r="B2" s="13" t="s">
        <v>43</v>
      </c>
      <c r="C2" s="13" t="s">
        <v>60</v>
      </c>
      <c r="D2" s="13" t="s">
        <v>61</v>
      </c>
      <c r="E2" s="13" t="s">
        <v>62</v>
      </c>
      <c r="F2" s="13" t="s">
        <v>63</v>
      </c>
      <c r="G2" s="14"/>
      <c r="H2" s="14"/>
      <c r="I2" s="14"/>
      <c r="J2" s="14"/>
      <c r="K2" s="14"/>
      <c r="L2" s="14"/>
    </row>
    <row r="3" customFormat="false" ht="26.85" hidden="false" customHeight="false" outlineLevel="0" collapsed="false">
      <c r="A3" s="13" t="n">
        <v>2</v>
      </c>
      <c r="B3" s="13" t="s">
        <v>43</v>
      </c>
      <c r="C3" s="13" t="s">
        <v>60</v>
      </c>
      <c r="D3" s="13" t="s">
        <v>64</v>
      </c>
      <c r="E3" s="13" t="s">
        <v>65</v>
      </c>
      <c r="F3" s="13" t="s">
        <v>63</v>
      </c>
      <c r="G3" s="14"/>
      <c r="H3" s="14"/>
      <c r="I3" s="14"/>
      <c r="J3" s="14"/>
      <c r="K3" s="14"/>
      <c r="L3" s="14"/>
    </row>
    <row r="4" customFormat="false" ht="26.85" hidden="false" customHeight="false" outlineLevel="0" collapsed="false">
      <c r="A4" s="13" t="n">
        <v>3</v>
      </c>
      <c r="B4" s="13" t="s">
        <v>43</v>
      </c>
      <c r="C4" s="13" t="s">
        <v>66</v>
      </c>
      <c r="D4" s="13" t="s">
        <v>67</v>
      </c>
      <c r="E4" s="13" t="s">
        <v>68</v>
      </c>
      <c r="F4" s="13" t="s">
        <v>63</v>
      </c>
      <c r="G4" s="14"/>
      <c r="H4" s="14"/>
      <c r="I4" s="14"/>
      <c r="J4" s="14"/>
      <c r="K4" s="14"/>
      <c r="L4" s="14"/>
    </row>
    <row r="5" customFormat="false" ht="26.85" hidden="false" customHeight="false" outlineLevel="0" collapsed="false">
      <c r="A5" s="13" t="n">
        <v>4</v>
      </c>
      <c r="B5" s="13" t="s">
        <v>43</v>
      </c>
      <c r="C5" s="13" t="s">
        <v>69</v>
      </c>
      <c r="D5" s="13" t="s">
        <v>70</v>
      </c>
      <c r="E5" s="13" t="s">
        <v>71</v>
      </c>
      <c r="F5" s="13" t="s">
        <v>72</v>
      </c>
      <c r="G5" s="14"/>
      <c r="H5" s="14"/>
      <c r="I5" s="14"/>
      <c r="J5" s="14"/>
      <c r="K5" s="14"/>
      <c r="L5" s="14"/>
    </row>
    <row r="6" customFormat="false" ht="39.55" hidden="false" customHeight="false" outlineLevel="0" collapsed="false">
      <c r="A6" s="13" t="n">
        <v>5</v>
      </c>
      <c r="B6" s="13" t="s">
        <v>43</v>
      </c>
      <c r="C6" s="13" t="s">
        <v>69</v>
      </c>
      <c r="D6" s="13" t="s">
        <v>73</v>
      </c>
      <c r="E6" s="13" t="s">
        <v>74</v>
      </c>
      <c r="F6" s="13" t="s">
        <v>63</v>
      </c>
      <c r="G6" s="14"/>
      <c r="H6" s="14"/>
      <c r="I6" s="14"/>
      <c r="J6" s="14"/>
      <c r="K6" s="14"/>
      <c r="L6" s="14"/>
    </row>
    <row r="7" customFormat="false" ht="39.55" hidden="false" customHeight="false" outlineLevel="0" collapsed="false">
      <c r="A7" s="13" t="n">
        <v>6</v>
      </c>
      <c r="B7" s="13" t="s">
        <v>44</v>
      </c>
      <c r="C7" s="13" t="s">
        <v>75</v>
      </c>
      <c r="D7" s="13" t="s">
        <v>76</v>
      </c>
      <c r="E7" s="13" t="s">
        <v>77</v>
      </c>
      <c r="F7" s="13" t="s">
        <v>63</v>
      </c>
      <c r="G7" s="14"/>
      <c r="H7" s="14"/>
      <c r="I7" s="14"/>
      <c r="J7" s="14"/>
      <c r="K7" s="14"/>
      <c r="L7" s="14"/>
    </row>
    <row r="8" customFormat="false" ht="26.85" hidden="false" customHeight="false" outlineLevel="0" collapsed="false">
      <c r="A8" s="13" t="n">
        <v>7</v>
      </c>
      <c r="B8" s="13" t="s">
        <v>44</v>
      </c>
      <c r="C8" s="13" t="s">
        <v>75</v>
      </c>
      <c r="D8" s="13" t="s">
        <v>78</v>
      </c>
      <c r="E8" s="13" t="s">
        <v>79</v>
      </c>
      <c r="F8" s="13" t="s">
        <v>63</v>
      </c>
      <c r="G8" s="14"/>
      <c r="H8" s="14"/>
      <c r="I8" s="14"/>
      <c r="J8" s="14"/>
      <c r="K8" s="14"/>
      <c r="L8" s="14"/>
    </row>
    <row r="9" customFormat="false" ht="26.85" hidden="false" customHeight="false" outlineLevel="0" collapsed="false">
      <c r="A9" s="13" t="n">
        <v>8</v>
      </c>
      <c r="B9" s="13" t="s">
        <v>44</v>
      </c>
      <c r="C9" s="13" t="s">
        <v>75</v>
      </c>
      <c r="D9" s="13" t="s">
        <v>80</v>
      </c>
      <c r="E9" s="13" t="s">
        <v>81</v>
      </c>
      <c r="F9" s="13" t="s">
        <v>63</v>
      </c>
      <c r="G9" s="14"/>
      <c r="H9" s="14"/>
      <c r="I9" s="14"/>
      <c r="J9" s="14"/>
      <c r="K9" s="14"/>
      <c r="L9" s="14"/>
    </row>
    <row r="10" customFormat="false" ht="26.85" hidden="false" customHeight="false" outlineLevel="0" collapsed="false">
      <c r="A10" s="13" t="n">
        <v>9</v>
      </c>
      <c r="B10" s="13" t="s">
        <v>44</v>
      </c>
      <c r="C10" s="13" t="s">
        <v>75</v>
      </c>
      <c r="D10" s="13" t="s">
        <v>82</v>
      </c>
      <c r="E10" s="13" t="s">
        <v>83</v>
      </c>
      <c r="F10" s="13" t="s">
        <v>72</v>
      </c>
      <c r="G10" s="14"/>
      <c r="H10" s="14"/>
      <c r="I10" s="14"/>
      <c r="J10" s="14"/>
      <c r="K10" s="14"/>
      <c r="L10" s="14"/>
    </row>
    <row r="11" customFormat="false" ht="26.85" hidden="false" customHeight="false" outlineLevel="0" collapsed="false">
      <c r="A11" s="13" t="n">
        <v>10</v>
      </c>
      <c r="B11" s="13" t="s">
        <v>44</v>
      </c>
      <c r="C11" s="13" t="s">
        <v>75</v>
      </c>
      <c r="D11" s="13" t="s">
        <v>84</v>
      </c>
      <c r="E11" s="13" t="s">
        <v>85</v>
      </c>
      <c r="F11" s="13" t="s">
        <v>72</v>
      </c>
      <c r="G11" s="14"/>
      <c r="H11" s="14"/>
      <c r="I11" s="14"/>
      <c r="J11" s="14"/>
      <c r="K11" s="14"/>
      <c r="L11" s="14"/>
    </row>
    <row r="12" customFormat="false" ht="39.55" hidden="false" customHeight="false" outlineLevel="0" collapsed="false">
      <c r="A12" s="13" t="n">
        <v>11</v>
      </c>
      <c r="B12" s="13" t="s">
        <v>45</v>
      </c>
      <c r="C12" s="13" t="s">
        <v>86</v>
      </c>
      <c r="D12" s="13" t="s">
        <v>87</v>
      </c>
      <c r="E12" s="13" t="s">
        <v>88</v>
      </c>
      <c r="F12" s="13" t="s">
        <v>63</v>
      </c>
      <c r="G12" s="14"/>
      <c r="H12" s="14"/>
      <c r="I12" s="14"/>
      <c r="J12" s="14"/>
      <c r="K12" s="14"/>
      <c r="L12" s="14"/>
    </row>
    <row r="13" customFormat="false" ht="26.85" hidden="false" customHeight="false" outlineLevel="0" collapsed="false">
      <c r="A13" s="13" t="n">
        <v>12</v>
      </c>
      <c r="B13" s="13" t="s">
        <v>45</v>
      </c>
      <c r="C13" s="13" t="s">
        <v>86</v>
      </c>
      <c r="D13" s="13" t="s">
        <v>89</v>
      </c>
      <c r="E13" s="13" t="s">
        <v>90</v>
      </c>
      <c r="F13" s="13" t="s">
        <v>72</v>
      </c>
      <c r="G13" s="14"/>
      <c r="H13" s="14"/>
      <c r="I13" s="14"/>
      <c r="J13" s="14"/>
      <c r="K13" s="14"/>
      <c r="L13" s="14"/>
    </row>
    <row r="14" customFormat="false" ht="26.85" hidden="false" customHeight="false" outlineLevel="0" collapsed="false">
      <c r="A14" s="13" t="n">
        <v>13</v>
      </c>
      <c r="B14" s="13" t="s">
        <v>45</v>
      </c>
      <c r="C14" s="13" t="s">
        <v>91</v>
      </c>
      <c r="D14" s="13" t="s">
        <v>92</v>
      </c>
      <c r="E14" s="13" t="s">
        <v>93</v>
      </c>
      <c r="F14" s="13" t="s">
        <v>63</v>
      </c>
      <c r="G14" s="14"/>
      <c r="H14" s="14"/>
      <c r="I14" s="14"/>
      <c r="J14" s="14"/>
      <c r="K14" s="14"/>
      <c r="L14" s="14"/>
    </row>
    <row r="15" customFormat="false" ht="26.85" hidden="false" customHeight="false" outlineLevel="0" collapsed="false">
      <c r="A15" s="13" t="n">
        <v>14</v>
      </c>
      <c r="B15" s="13" t="s">
        <v>45</v>
      </c>
      <c r="C15" s="13" t="s">
        <v>94</v>
      </c>
      <c r="D15" s="13" t="s">
        <v>95</v>
      </c>
      <c r="E15" s="13" t="s">
        <v>96</v>
      </c>
      <c r="F15" s="13" t="s">
        <v>97</v>
      </c>
      <c r="G15" s="14"/>
      <c r="H15" s="14"/>
      <c r="I15" s="14"/>
      <c r="J15" s="14"/>
      <c r="K15" s="14"/>
      <c r="L15" s="14"/>
    </row>
    <row r="16" customFormat="false" ht="26.85" hidden="false" customHeight="false" outlineLevel="0" collapsed="false">
      <c r="A16" s="13" t="n">
        <v>15</v>
      </c>
      <c r="B16" s="13" t="s">
        <v>45</v>
      </c>
      <c r="C16" s="13" t="s">
        <v>98</v>
      </c>
      <c r="D16" s="13" t="s">
        <v>99</v>
      </c>
      <c r="E16" s="13" t="s">
        <v>100</v>
      </c>
      <c r="F16" s="13" t="s">
        <v>63</v>
      </c>
      <c r="G16" s="14"/>
      <c r="H16" s="14"/>
      <c r="I16" s="14"/>
      <c r="J16" s="14"/>
      <c r="K16" s="14"/>
      <c r="L16" s="14"/>
    </row>
    <row r="17" customFormat="false" ht="26.85" hidden="false" customHeight="false" outlineLevel="0" collapsed="false">
      <c r="A17" s="13" t="n">
        <v>16</v>
      </c>
      <c r="B17" s="13" t="s">
        <v>46</v>
      </c>
      <c r="C17" s="13" t="s">
        <v>101</v>
      </c>
      <c r="D17" s="13" t="s">
        <v>102</v>
      </c>
      <c r="E17" s="13" t="s">
        <v>103</v>
      </c>
      <c r="F17" s="13" t="s">
        <v>63</v>
      </c>
      <c r="G17" s="14"/>
      <c r="H17" s="14"/>
      <c r="I17" s="14"/>
      <c r="J17" s="14"/>
      <c r="K17" s="14"/>
      <c r="L17" s="14"/>
    </row>
    <row r="18" customFormat="false" ht="26.85" hidden="false" customHeight="false" outlineLevel="0" collapsed="false">
      <c r="A18" s="13" t="n">
        <v>17</v>
      </c>
      <c r="B18" s="13" t="s">
        <v>46</v>
      </c>
      <c r="C18" s="13" t="s">
        <v>101</v>
      </c>
      <c r="D18" s="13" t="s">
        <v>104</v>
      </c>
      <c r="E18" s="13" t="s">
        <v>105</v>
      </c>
      <c r="F18" s="13" t="s">
        <v>63</v>
      </c>
      <c r="G18" s="14"/>
      <c r="H18" s="14"/>
      <c r="I18" s="14"/>
      <c r="J18" s="14"/>
      <c r="K18" s="14"/>
      <c r="L18" s="14"/>
    </row>
    <row r="19" customFormat="false" ht="26.85" hidden="false" customHeight="false" outlineLevel="0" collapsed="false">
      <c r="A19" s="13" t="n">
        <v>18</v>
      </c>
      <c r="B19" s="13" t="s">
        <v>46</v>
      </c>
      <c r="C19" s="13" t="s">
        <v>106</v>
      </c>
      <c r="D19" s="13" t="s">
        <v>107</v>
      </c>
      <c r="E19" s="13" t="s">
        <v>108</v>
      </c>
      <c r="F19" s="13" t="s">
        <v>63</v>
      </c>
      <c r="G19" s="14"/>
      <c r="H19" s="14"/>
      <c r="I19" s="14"/>
      <c r="J19" s="14"/>
      <c r="K19" s="14"/>
      <c r="L19" s="14"/>
    </row>
    <row r="20" customFormat="false" ht="26.85" hidden="false" customHeight="false" outlineLevel="0" collapsed="false">
      <c r="A20" s="13" t="n">
        <v>19</v>
      </c>
      <c r="B20" s="13" t="s">
        <v>46</v>
      </c>
      <c r="C20" s="13" t="s">
        <v>109</v>
      </c>
      <c r="D20" s="13" t="s">
        <v>110</v>
      </c>
      <c r="E20" s="13" t="s">
        <v>111</v>
      </c>
      <c r="F20" s="13" t="s">
        <v>63</v>
      </c>
      <c r="G20" s="14"/>
      <c r="H20" s="14"/>
      <c r="I20" s="14"/>
      <c r="J20" s="14"/>
      <c r="K20" s="14"/>
      <c r="L20" s="14"/>
    </row>
    <row r="21" customFormat="false" ht="26.85" hidden="false" customHeight="false" outlineLevel="0" collapsed="false">
      <c r="A21" s="13" t="n">
        <v>20</v>
      </c>
      <c r="B21" s="13" t="s">
        <v>46</v>
      </c>
      <c r="C21" s="13" t="s">
        <v>112</v>
      </c>
      <c r="D21" s="13" t="s">
        <v>113</v>
      </c>
      <c r="E21" s="13" t="s">
        <v>114</v>
      </c>
      <c r="F21" s="13" t="s">
        <v>72</v>
      </c>
      <c r="G21" s="14"/>
      <c r="H21" s="14"/>
      <c r="I21" s="14"/>
      <c r="J21" s="14"/>
      <c r="K21" s="14"/>
      <c r="L21" s="14"/>
    </row>
    <row r="22" customFormat="false" ht="26.85" hidden="false" customHeight="false" outlineLevel="0" collapsed="false">
      <c r="A22" s="13" t="n">
        <v>21</v>
      </c>
      <c r="B22" s="13" t="s">
        <v>46</v>
      </c>
      <c r="C22" s="13" t="s">
        <v>115</v>
      </c>
      <c r="D22" s="13" t="s">
        <v>116</v>
      </c>
      <c r="E22" s="13" t="s">
        <v>117</v>
      </c>
      <c r="F22" s="13" t="s">
        <v>63</v>
      </c>
      <c r="G22" s="14"/>
      <c r="H22" s="14"/>
      <c r="I22" s="14"/>
      <c r="J22" s="14"/>
      <c r="K22" s="14"/>
      <c r="L22" s="14"/>
    </row>
    <row r="23" customFormat="false" ht="26.85" hidden="false" customHeight="false" outlineLevel="0" collapsed="false">
      <c r="A23" s="13" t="n">
        <v>22</v>
      </c>
      <c r="B23" s="13" t="s">
        <v>47</v>
      </c>
      <c r="C23" s="13" t="s">
        <v>118</v>
      </c>
      <c r="D23" s="13" t="s">
        <v>119</v>
      </c>
      <c r="E23" s="13" t="s">
        <v>120</v>
      </c>
      <c r="F23" s="13" t="s">
        <v>63</v>
      </c>
      <c r="G23" s="14"/>
      <c r="H23" s="14"/>
      <c r="I23" s="14"/>
      <c r="J23" s="14"/>
      <c r="K23" s="14"/>
      <c r="L23" s="14"/>
    </row>
    <row r="24" customFormat="false" ht="26.85" hidden="false" customHeight="false" outlineLevel="0" collapsed="false">
      <c r="A24" s="13" t="n">
        <v>23</v>
      </c>
      <c r="B24" s="13" t="s">
        <v>47</v>
      </c>
      <c r="C24" s="13" t="s">
        <v>118</v>
      </c>
      <c r="D24" s="13" t="s">
        <v>121</v>
      </c>
      <c r="E24" s="13" t="s">
        <v>122</v>
      </c>
      <c r="F24" s="13" t="s">
        <v>63</v>
      </c>
      <c r="G24" s="14"/>
      <c r="H24" s="14"/>
      <c r="I24" s="14"/>
      <c r="J24" s="14"/>
      <c r="K24" s="14"/>
      <c r="L24" s="14"/>
    </row>
    <row r="25" customFormat="false" ht="26.85" hidden="false" customHeight="false" outlineLevel="0" collapsed="false">
      <c r="A25" s="13" t="n">
        <v>24</v>
      </c>
      <c r="B25" s="13" t="s">
        <v>47</v>
      </c>
      <c r="C25" s="13" t="s">
        <v>123</v>
      </c>
      <c r="D25" s="13" t="s">
        <v>124</v>
      </c>
      <c r="E25" s="13" t="s">
        <v>125</v>
      </c>
      <c r="F25" s="13" t="s">
        <v>63</v>
      </c>
      <c r="G25" s="14"/>
      <c r="H25" s="14"/>
      <c r="I25" s="14"/>
      <c r="J25" s="14"/>
      <c r="K25" s="14"/>
      <c r="L25" s="14"/>
    </row>
    <row r="26" customFormat="false" ht="26.85" hidden="false" customHeight="false" outlineLevel="0" collapsed="false">
      <c r="A26" s="13" t="n">
        <v>25</v>
      </c>
      <c r="B26" s="13" t="s">
        <v>47</v>
      </c>
      <c r="C26" s="13" t="s">
        <v>126</v>
      </c>
      <c r="D26" s="13" t="s">
        <v>127</v>
      </c>
      <c r="E26" s="13" t="s">
        <v>128</v>
      </c>
      <c r="F26" s="13" t="s">
        <v>72</v>
      </c>
      <c r="G26" s="14"/>
      <c r="H26" s="14"/>
      <c r="I26" s="14"/>
      <c r="J26" s="14"/>
      <c r="K26" s="14"/>
      <c r="L26" s="14"/>
    </row>
    <row r="27" customFormat="false" ht="26.85" hidden="false" customHeight="false" outlineLevel="0" collapsed="false">
      <c r="A27" s="13" t="n">
        <v>26</v>
      </c>
      <c r="B27" s="13" t="s">
        <v>47</v>
      </c>
      <c r="C27" s="13" t="s">
        <v>129</v>
      </c>
      <c r="D27" s="13" t="s">
        <v>130</v>
      </c>
      <c r="E27" s="13" t="s">
        <v>131</v>
      </c>
      <c r="F27" s="13" t="s">
        <v>63</v>
      </c>
      <c r="G27" s="14"/>
      <c r="H27" s="14"/>
      <c r="I27" s="14"/>
      <c r="J27" s="14"/>
      <c r="K27" s="14"/>
      <c r="L27" s="14"/>
    </row>
    <row r="28" customFormat="false" ht="26.85" hidden="false" customHeight="false" outlineLevel="0" collapsed="false">
      <c r="A28" s="13" t="n">
        <v>27</v>
      </c>
      <c r="B28" s="13" t="s">
        <v>47</v>
      </c>
      <c r="C28" s="13" t="s">
        <v>132</v>
      </c>
      <c r="D28" s="13" t="s">
        <v>133</v>
      </c>
      <c r="E28" s="13" t="s">
        <v>134</v>
      </c>
      <c r="F28" s="13" t="s">
        <v>63</v>
      </c>
      <c r="G28" s="14"/>
      <c r="H28" s="14"/>
      <c r="I28" s="14"/>
      <c r="J28" s="14"/>
      <c r="K28" s="14"/>
      <c r="L28" s="14"/>
    </row>
    <row r="29" customFormat="false" ht="26.85" hidden="false" customHeight="false" outlineLevel="0" collapsed="false">
      <c r="A29" s="13" t="n">
        <v>28</v>
      </c>
      <c r="B29" s="13" t="s">
        <v>48</v>
      </c>
      <c r="C29" s="13" t="s">
        <v>135</v>
      </c>
      <c r="D29" s="13" t="s">
        <v>136</v>
      </c>
      <c r="E29" s="13" t="s">
        <v>137</v>
      </c>
      <c r="F29" s="13" t="s">
        <v>63</v>
      </c>
      <c r="G29" s="14"/>
      <c r="H29" s="14"/>
      <c r="I29" s="14"/>
      <c r="J29" s="14"/>
      <c r="K29" s="14"/>
      <c r="L29" s="14"/>
    </row>
    <row r="30" customFormat="false" ht="26.85" hidden="false" customHeight="false" outlineLevel="0" collapsed="false">
      <c r="A30" s="13" t="n">
        <v>29</v>
      </c>
      <c r="B30" s="13" t="s">
        <v>48</v>
      </c>
      <c r="C30" s="13" t="s">
        <v>135</v>
      </c>
      <c r="D30" s="13" t="s">
        <v>138</v>
      </c>
      <c r="E30" s="13" t="s">
        <v>139</v>
      </c>
      <c r="F30" s="13" t="s">
        <v>63</v>
      </c>
      <c r="G30" s="14"/>
      <c r="H30" s="14"/>
      <c r="I30" s="14"/>
      <c r="J30" s="14"/>
      <c r="K30" s="14"/>
      <c r="L30" s="14"/>
    </row>
    <row r="31" customFormat="false" ht="26.85" hidden="false" customHeight="false" outlineLevel="0" collapsed="false">
      <c r="A31" s="13" t="n">
        <v>30</v>
      </c>
      <c r="B31" s="13" t="s">
        <v>48</v>
      </c>
      <c r="C31" s="13" t="s">
        <v>140</v>
      </c>
      <c r="D31" s="13" t="s">
        <v>141</v>
      </c>
      <c r="E31" s="13" t="s">
        <v>142</v>
      </c>
      <c r="F31" s="13" t="s">
        <v>72</v>
      </c>
      <c r="G31" s="14"/>
      <c r="H31" s="14"/>
      <c r="I31" s="14"/>
      <c r="J31" s="14"/>
      <c r="K31" s="14"/>
      <c r="L31" s="14"/>
    </row>
    <row r="32" customFormat="false" ht="39.55" hidden="false" customHeight="false" outlineLevel="0" collapsed="false">
      <c r="A32" s="13" t="n">
        <v>31</v>
      </c>
      <c r="B32" s="13" t="s">
        <v>48</v>
      </c>
      <c r="C32" s="13" t="s">
        <v>143</v>
      </c>
      <c r="D32" s="13" t="s">
        <v>144</v>
      </c>
      <c r="E32" s="13" t="s">
        <v>145</v>
      </c>
      <c r="F32" s="13" t="s">
        <v>72</v>
      </c>
      <c r="G32" s="14"/>
      <c r="H32" s="14"/>
      <c r="I32" s="14"/>
      <c r="J32" s="14"/>
      <c r="K32" s="14"/>
      <c r="L32" s="14"/>
    </row>
    <row r="33" customFormat="false" ht="26.85" hidden="false" customHeight="false" outlineLevel="0" collapsed="false">
      <c r="A33" s="13" t="n">
        <v>32</v>
      </c>
      <c r="B33" s="13" t="s">
        <v>48</v>
      </c>
      <c r="C33" s="13" t="s">
        <v>146</v>
      </c>
      <c r="D33" s="13" t="s">
        <v>147</v>
      </c>
      <c r="E33" s="13" t="s">
        <v>148</v>
      </c>
      <c r="F33" s="13" t="s">
        <v>63</v>
      </c>
      <c r="G33" s="14"/>
      <c r="H33" s="14"/>
      <c r="I33" s="14"/>
      <c r="J33" s="14"/>
      <c r="K33" s="14"/>
      <c r="L33" s="14"/>
    </row>
    <row r="34" customFormat="false" ht="26.85" hidden="false" customHeight="false" outlineLevel="0" collapsed="false">
      <c r="A34" s="13" t="n">
        <v>33</v>
      </c>
      <c r="B34" s="13" t="s">
        <v>49</v>
      </c>
      <c r="C34" s="13" t="s">
        <v>149</v>
      </c>
      <c r="D34" s="13" t="s">
        <v>150</v>
      </c>
      <c r="E34" s="13" t="s">
        <v>151</v>
      </c>
      <c r="F34" s="13" t="s">
        <v>63</v>
      </c>
      <c r="G34" s="14"/>
      <c r="H34" s="14"/>
      <c r="I34" s="14"/>
      <c r="J34" s="14"/>
      <c r="K34" s="14"/>
      <c r="L34" s="14"/>
    </row>
    <row r="35" customFormat="false" ht="26.85" hidden="false" customHeight="false" outlineLevel="0" collapsed="false">
      <c r="A35" s="13" t="n">
        <v>34</v>
      </c>
      <c r="B35" s="13" t="s">
        <v>49</v>
      </c>
      <c r="C35" s="13" t="s">
        <v>149</v>
      </c>
      <c r="D35" s="13" t="s">
        <v>152</v>
      </c>
      <c r="E35" s="13" t="s">
        <v>153</v>
      </c>
      <c r="F35" s="13" t="s">
        <v>72</v>
      </c>
      <c r="G35" s="14"/>
      <c r="H35" s="14"/>
      <c r="I35" s="14"/>
      <c r="J35" s="14"/>
      <c r="K35" s="14"/>
      <c r="L35" s="14"/>
    </row>
    <row r="36" customFormat="false" ht="26.85" hidden="false" customHeight="false" outlineLevel="0" collapsed="false">
      <c r="A36" s="13" t="n">
        <v>35</v>
      </c>
      <c r="B36" s="13" t="s">
        <v>49</v>
      </c>
      <c r="C36" s="13" t="s">
        <v>154</v>
      </c>
      <c r="D36" s="13" t="s">
        <v>155</v>
      </c>
      <c r="E36" s="13" t="s">
        <v>156</v>
      </c>
      <c r="F36" s="13" t="s">
        <v>63</v>
      </c>
      <c r="G36" s="14"/>
      <c r="H36" s="14"/>
      <c r="I36" s="14"/>
      <c r="J36" s="14"/>
      <c r="K36" s="14"/>
      <c r="L36" s="14"/>
    </row>
    <row r="37" customFormat="false" ht="26.85" hidden="false" customHeight="false" outlineLevel="0" collapsed="false">
      <c r="A37" s="13" t="n">
        <v>36</v>
      </c>
      <c r="B37" s="13" t="s">
        <v>49</v>
      </c>
      <c r="C37" s="13" t="s">
        <v>157</v>
      </c>
      <c r="D37" s="13" t="s">
        <v>158</v>
      </c>
      <c r="E37" s="13" t="s">
        <v>159</v>
      </c>
      <c r="F37" s="13" t="s">
        <v>72</v>
      </c>
      <c r="G37" s="14"/>
      <c r="H37" s="14"/>
      <c r="I37" s="14"/>
      <c r="J37" s="14"/>
      <c r="K37" s="14"/>
      <c r="L37" s="14"/>
    </row>
    <row r="38" customFormat="false" ht="26.85" hidden="false" customHeight="false" outlineLevel="0" collapsed="false">
      <c r="A38" s="13" t="n">
        <v>37</v>
      </c>
      <c r="B38" s="13" t="s">
        <v>49</v>
      </c>
      <c r="C38" s="13" t="s">
        <v>160</v>
      </c>
      <c r="D38" s="13" t="s">
        <v>161</v>
      </c>
      <c r="E38" s="13" t="s">
        <v>162</v>
      </c>
      <c r="F38" s="13" t="s">
        <v>63</v>
      </c>
      <c r="G38" s="14"/>
      <c r="H38" s="14"/>
      <c r="I38" s="14"/>
      <c r="J38" s="14"/>
      <c r="K38" s="14"/>
      <c r="L38" s="14"/>
    </row>
    <row r="39" customFormat="false" ht="26.85" hidden="false" customHeight="false" outlineLevel="0" collapsed="false">
      <c r="A39" s="13" t="n">
        <v>38</v>
      </c>
      <c r="B39" s="13" t="s">
        <v>49</v>
      </c>
      <c r="C39" s="13" t="s">
        <v>163</v>
      </c>
      <c r="D39" s="13" t="s">
        <v>164</v>
      </c>
      <c r="E39" s="13" t="s">
        <v>165</v>
      </c>
      <c r="F39" s="13" t="s">
        <v>97</v>
      </c>
      <c r="G39" s="14"/>
      <c r="H39" s="14"/>
      <c r="I39" s="14"/>
      <c r="J39" s="14"/>
      <c r="K39" s="14"/>
      <c r="L39" s="14"/>
    </row>
    <row r="40" customFormat="false" ht="26.85" hidden="false" customHeight="false" outlineLevel="0" collapsed="false">
      <c r="A40" s="13" t="n">
        <v>39</v>
      </c>
      <c r="B40" s="13" t="s">
        <v>49</v>
      </c>
      <c r="C40" s="13" t="s">
        <v>166</v>
      </c>
      <c r="D40" s="13" t="s">
        <v>167</v>
      </c>
      <c r="E40" s="13" t="s">
        <v>168</v>
      </c>
      <c r="F40" s="13" t="s">
        <v>72</v>
      </c>
      <c r="G40" s="14"/>
      <c r="H40" s="14"/>
      <c r="I40" s="14"/>
      <c r="J40" s="14"/>
      <c r="K40" s="14"/>
      <c r="L40" s="14"/>
    </row>
    <row r="41" customFormat="false" ht="26.85" hidden="false" customHeight="false" outlineLevel="0" collapsed="false">
      <c r="A41" s="13" t="n">
        <v>40</v>
      </c>
      <c r="B41" s="13" t="s">
        <v>50</v>
      </c>
      <c r="C41" s="13" t="s">
        <v>169</v>
      </c>
      <c r="D41" s="13" t="s">
        <v>170</v>
      </c>
      <c r="E41" s="13" t="s">
        <v>171</v>
      </c>
      <c r="F41" s="13" t="s">
        <v>63</v>
      </c>
      <c r="G41" s="14"/>
      <c r="H41" s="14"/>
      <c r="I41" s="14"/>
      <c r="J41" s="14"/>
      <c r="K41" s="14"/>
      <c r="L41" s="14"/>
    </row>
    <row r="42" customFormat="false" ht="39.55" hidden="false" customHeight="false" outlineLevel="0" collapsed="false">
      <c r="A42" s="13" t="n">
        <v>41</v>
      </c>
      <c r="B42" s="13" t="s">
        <v>50</v>
      </c>
      <c r="C42" s="13" t="s">
        <v>172</v>
      </c>
      <c r="D42" s="13" t="s">
        <v>173</v>
      </c>
      <c r="E42" s="13" t="s">
        <v>174</v>
      </c>
      <c r="F42" s="13" t="s">
        <v>63</v>
      </c>
      <c r="G42" s="14"/>
      <c r="H42" s="14"/>
      <c r="I42" s="14"/>
      <c r="J42" s="14"/>
      <c r="K42" s="14"/>
      <c r="L42" s="14"/>
    </row>
    <row r="43" customFormat="false" ht="39.55" hidden="false" customHeight="false" outlineLevel="0" collapsed="false">
      <c r="A43" s="13" t="n">
        <v>42</v>
      </c>
      <c r="B43" s="13" t="s">
        <v>50</v>
      </c>
      <c r="C43" s="13" t="s">
        <v>175</v>
      </c>
      <c r="D43" s="13" t="s">
        <v>176</v>
      </c>
      <c r="E43" s="13" t="s">
        <v>177</v>
      </c>
      <c r="F43" s="13" t="s">
        <v>63</v>
      </c>
      <c r="G43" s="14"/>
      <c r="H43" s="14"/>
      <c r="I43" s="14"/>
      <c r="J43" s="14"/>
      <c r="K43" s="14"/>
      <c r="L43" s="14"/>
    </row>
    <row r="44" customFormat="false" ht="26.85" hidden="false" customHeight="false" outlineLevel="0" collapsed="false">
      <c r="A44" s="13" t="n">
        <v>43</v>
      </c>
      <c r="B44" s="13" t="s">
        <v>50</v>
      </c>
      <c r="C44" s="13" t="s">
        <v>178</v>
      </c>
      <c r="D44" s="13" t="s">
        <v>179</v>
      </c>
      <c r="E44" s="13" t="s">
        <v>180</v>
      </c>
      <c r="F44" s="13" t="s">
        <v>63</v>
      </c>
      <c r="G44" s="14"/>
      <c r="H44" s="14"/>
      <c r="I44" s="14"/>
      <c r="J44" s="14"/>
      <c r="K44" s="14"/>
      <c r="L44" s="14"/>
    </row>
    <row r="45" customFormat="false" ht="26.85" hidden="false" customHeight="false" outlineLevel="0" collapsed="false">
      <c r="A45" s="13" t="n">
        <v>44</v>
      </c>
      <c r="B45" s="13" t="s">
        <v>50</v>
      </c>
      <c r="C45" s="13" t="s">
        <v>181</v>
      </c>
      <c r="D45" s="13" t="s">
        <v>182</v>
      </c>
      <c r="E45" s="13" t="s">
        <v>183</v>
      </c>
      <c r="F45" s="13" t="s">
        <v>72</v>
      </c>
      <c r="G45" s="14"/>
      <c r="H45" s="14"/>
      <c r="I45" s="14"/>
      <c r="J45" s="14"/>
      <c r="K45" s="14"/>
      <c r="L45" s="14"/>
    </row>
    <row r="46" customFormat="false" ht="26.85" hidden="false" customHeight="false" outlineLevel="0" collapsed="false">
      <c r="A46" s="13" t="n">
        <v>45</v>
      </c>
      <c r="B46" s="13" t="s">
        <v>51</v>
      </c>
      <c r="C46" s="13" t="s">
        <v>184</v>
      </c>
      <c r="D46" s="13" t="s">
        <v>185</v>
      </c>
      <c r="E46" s="13" t="s">
        <v>186</v>
      </c>
      <c r="F46" s="13" t="s">
        <v>63</v>
      </c>
      <c r="G46" s="14"/>
      <c r="H46" s="14"/>
      <c r="I46" s="14"/>
      <c r="J46" s="14"/>
      <c r="K46" s="14"/>
      <c r="L46" s="14"/>
    </row>
    <row r="47" customFormat="false" ht="26.85" hidden="false" customHeight="false" outlineLevel="0" collapsed="false">
      <c r="A47" s="13" t="n">
        <v>46</v>
      </c>
      <c r="B47" s="13" t="s">
        <v>51</v>
      </c>
      <c r="C47" s="13" t="s">
        <v>187</v>
      </c>
      <c r="D47" s="13" t="s">
        <v>188</v>
      </c>
      <c r="E47" s="13" t="s">
        <v>189</v>
      </c>
      <c r="F47" s="13" t="s">
        <v>63</v>
      </c>
      <c r="G47" s="14"/>
      <c r="H47" s="14"/>
      <c r="I47" s="14"/>
      <c r="J47" s="14"/>
      <c r="K47" s="14"/>
      <c r="L47" s="14"/>
    </row>
    <row r="48" customFormat="false" ht="26.85" hidden="false" customHeight="false" outlineLevel="0" collapsed="false">
      <c r="A48" s="13" t="n">
        <v>47</v>
      </c>
      <c r="B48" s="13" t="s">
        <v>51</v>
      </c>
      <c r="C48" s="13" t="s">
        <v>190</v>
      </c>
      <c r="D48" s="13" t="s">
        <v>191</v>
      </c>
      <c r="E48" s="13" t="s">
        <v>192</v>
      </c>
      <c r="F48" s="13" t="s">
        <v>72</v>
      </c>
      <c r="G48" s="14"/>
      <c r="H48" s="14"/>
      <c r="I48" s="14"/>
      <c r="J48" s="14"/>
      <c r="K48" s="14"/>
      <c r="L48" s="14"/>
    </row>
    <row r="49" customFormat="false" ht="26.85" hidden="false" customHeight="false" outlineLevel="0" collapsed="false">
      <c r="A49" s="13" t="n">
        <v>48</v>
      </c>
      <c r="B49" s="13" t="s">
        <v>51</v>
      </c>
      <c r="C49" s="13" t="s">
        <v>193</v>
      </c>
      <c r="D49" s="13" t="s">
        <v>194</v>
      </c>
      <c r="E49" s="13" t="s">
        <v>195</v>
      </c>
      <c r="F49" s="13" t="s">
        <v>72</v>
      </c>
      <c r="G49" s="14"/>
      <c r="H49" s="14"/>
      <c r="I49" s="14"/>
      <c r="J49" s="14"/>
      <c r="K49" s="14"/>
      <c r="L49" s="14"/>
    </row>
    <row r="50" customFormat="false" ht="39.55" hidden="false" customHeight="false" outlineLevel="0" collapsed="false">
      <c r="A50" s="13" t="n">
        <v>49</v>
      </c>
      <c r="B50" s="13" t="s">
        <v>51</v>
      </c>
      <c r="C50" s="13" t="s">
        <v>196</v>
      </c>
      <c r="D50" s="13" t="s">
        <v>197</v>
      </c>
      <c r="E50" s="13" t="s">
        <v>198</v>
      </c>
      <c r="F50" s="13" t="s">
        <v>63</v>
      </c>
      <c r="G50" s="14"/>
      <c r="H50" s="14"/>
      <c r="I50" s="14"/>
      <c r="J50" s="14"/>
      <c r="K50" s="14"/>
      <c r="L50" s="14"/>
    </row>
    <row r="51" customFormat="false" ht="26.85" hidden="false" customHeight="false" outlineLevel="0" collapsed="false">
      <c r="A51" s="13" t="n">
        <v>50</v>
      </c>
      <c r="B51" s="13" t="s">
        <v>51</v>
      </c>
      <c r="C51" s="13" t="s">
        <v>199</v>
      </c>
      <c r="D51" s="13" t="s">
        <v>200</v>
      </c>
      <c r="E51" s="13" t="s">
        <v>201</v>
      </c>
      <c r="F51" s="13" t="s">
        <v>72</v>
      </c>
      <c r="G51" s="14"/>
      <c r="H51" s="14"/>
      <c r="I51" s="14"/>
      <c r="J51" s="14"/>
      <c r="K51" s="14"/>
      <c r="L51" s="14"/>
    </row>
  </sheetData>
  <autoFilter ref="A1:L51"/>
  <conditionalFormatting sqref="G2:G51">
    <cfRule type="expression" priority="2" aboveAverage="0" equalAverage="0" bottom="0" percent="0" rank="0" text="" dxfId="5">
      <formula>G2="Yes"</formula>
    </cfRule>
    <cfRule type="expression" priority="3" aboveAverage="0" equalAverage="0" bottom="0" percent="0" rank="0" text="" dxfId="6">
      <formula>G2="Partial"</formula>
    </cfRule>
    <cfRule type="expression" priority="4" aboveAverage="0" equalAverage="0" bottom="0" percent="0" rank="0" text="" dxfId="7">
      <formula>G2="No"</formula>
    </cfRule>
  </conditionalFormatting>
  <conditionalFormatting sqref="F2:F51">
    <cfRule type="expression" priority="5" aboveAverage="0" equalAverage="0" bottom="0" percent="0" rank="0" text="" dxfId="8">
      <formula>F2="High"</formula>
    </cfRule>
  </conditionalFormatting>
  <dataValidations count="4">
    <dataValidation allowBlank="true" errorStyle="stop" operator="between" showDropDown="false" showErrorMessage="false" showInputMessage="false" sqref="G2:G51" type="list">
      <formula1>Lists!$A$4:$A$7</formula1>
      <formula2>0</formula2>
    </dataValidation>
    <dataValidation allowBlank="true" errorStyle="stop" operator="between" showDropDown="false" showErrorMessage="false" showInputMessage="false" sqref="H2:H51" type="list">
      <formula1>Lists!$B$4:$B$11</formula1>
      <formula2>0</formula2>
    </dataValidation>
    <dataValidation allowBlank="true" errorStyle="stop" operator="between" showDropDown="false" showErrorMessage="false" showInputMessage="false" sqref="F2:F51" type="list">
      <formula1>Lists!$C$4:$C$6</formula1>
      <formula2>0</formula2>
    </dataValidation>
    <dataValidation allowBlank="true" errorStyle="stop" operator="between" showDropDown="false" showErrorMessage="false" showInputMessage="false" sqref="J2:J51" type="list">
      <formula1>Lists!$D$4:$D$6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16"/>
    <col collapsed="false" customWidth="true" hidden="false" outlineLevel="0" max="7" min="7" style="0" width="40"/>
  </cols>
  <sheetData>
    <row r="1" customFormat="false" ht="26.85" hidden="false" customHeight="false" outlineLevel="0" collapsed="false">
      <c r="A1" s="12" t="s">
        <v>202</v>
      </c>
      <c r="B1" s="12" t="s">
        <v>203</v>
      </c>
      <c r="C1" s="12" t="s">
        <v>204</v>
      </c>
      <c r="D1" s="12" t="s">
        <v>205</v>
      </c>
      <c r="E1" s="12" t="s">
        <v>20</v>
      </c>
      <c r="F1" s="12" t="s">
        <v>206</v>
      </c>
      <c r="G1" s="12" t="s">
        <v>207</v>
      </c>
    </row>
    <row r="2" customFormat="false" ht="26.85" hidden="false" customHeight="false" outlineLevel="0" collapsed="false">
      <c r="A2" s="13" t="s">
        <v>208</v>
      </c>
      <c r="B2" s="13" t="s">
        <v>209</v>
      </c>
      <c r="C2" s="13" t="s">
        <v>210</v>
      </c>
      <c r="D2" s="14"/>
      <c r="E2" s="14"/>
      <c r="F2" s="14"/>
      <c r="G2" s="14"/>
    </row>
    <row r="3" customFormat="false" ht="26.85" hidden="false" customHeight="false" outlineLevel="0" collapsed="false">
      <c r="A3" s="13" t="s">
        <v>211</v>
      </c>
      <c r="B3" s="13" t="s">
        <v>212</v>
      </c>
      <c r="C3" s="13" t="s">
        <v>213</v>
      </c>
      <c r="D3" s="14"/>
      <c r="E3" s="14"/>
      <c r="F3" s="14"/>
      <c r="G3" s="14"/>
    </row>
    <row r="4" customFormat="false" ht="26.85" hidden="false" customHeight="false" outlineLevel="0" collapsed="false">
      <c r="A4" s="13" t="s">
        <v>214</v>
      </c>
      <c r="B4" s="13" t="s">
        <v>215</v>
      </c>
      <c r="C4" s="13" t="s">
        <v>216</v>
      </c>
      <c r="D4" s="14"/>
      <c r="E4" s="14"/>
      <c r="F4" s="14"/>
      <c r="G4" s="14"/>
    </row>
    <row r="5" customFormat="false" ht="26.85" hidden="false" customHeight="false" outlineLevel="0" collapsed="false">
      <c r="A5" s="13" t="s">
        <v>217</v>
      </c>
      <c r="B5" s="13" t="s">
        <v>218</v>
      </c>
      <c r="C5" s="13" t="s">
        <v>219</v>
      </c>
      <c r="D5" s="14"/>
      <c r="E5" s="14"/>
      <c r="F5" s="14"/>
      <c r="G5" s="14"/>
    </row>
    <row r="6" customFormat="false" ht="26.85" hidden="false" customHeight="false" outlineLevel="0" collapsed="false">
      <c r="A6" s="13" t="s">
        <v>220</v>
      </c>
      <c r="B6" s="13" t="s">
        <v>221</v>
      </c>
      <c r="C6" s="13" t="s">
        <v>222</v>
      </c>
      <c r="D6" s="14"/>
      <c r="E6" s="14"/>
      <c r="F6" s="14"/>
      <c r="G6" s="14"/>
    </row>
    <row r="7" customFormat="false" ht="15" hidden="false" customHeight="false" outlineLevel="0" collapsed="false">
      <c r="A7" s="13" t="s">
        <v>223</v>
      </c>
      <c r="B7" s="13" t="s">
        <v>224</v>
      </c>
      <c r="C7" s="13" t="s">
        <v>129</v>
      </c>
      <c r="D7" s="14"/>
      <c r="E7" s="14"/>
      <c r="F7" s="14"/>
      <c r="G7" s="14"/>
    </row>
    <row r="8" customFormat="false" ht="26.85" hidden="false" customHeight="false" outlineLevel="0" collapsed="false">
      <c r="A8" s="13" t="s">
        <v>225</v>
      </c>
      <c r="B8" s="13" t="s">
        <v>226</v>
      </c>
      <c r="C8" s="13" t="s">
        <v>227</v>
      </c>
      <c r="D8" s="14"/>
      <c r="E8" s="14"/>
      <c r="F8" s="14"/>
      <c r="G8" s="14"/>
    </row>
    <row r="9" customFormat="false" ht="15" hidden="false" customHeight="false" outlineLevel="0" collapsed="false">
      <c r="A9" s="13" t="s">
        <v>228</v>
      </c>
      <c r="B9" s="13" t="s">
        <v>229</v>
      </c>
      <c r="C9" s="13" t="s">
        <v>230</v>
      </c>
      <c r="D9" s="14"/>
      <c r="E9" s="14"/>
      <c r="F9" s="14"/>
      <c r="G9" s="14"/>
    </row>
    <row r="10" customFormat="false" ht="26.85" hidden="false" customHeight="false" outlineLevel="0" collapsed="false">
      <c r="A10" s="13" t="s">
        <v>231</v>
      </c>
      <c r="B10" s="13" t="s">
        <v>232</v>
      </c>
      <c r="C10" s="13" t="s">
        <v>230</v>
      </c>
      <c r="D10" s="14"/>
      <c r="E10" s="14"/>
      <c r="F10" s="14"/>
      <c r="G10" s="14"/>
    </row>
    <row r="11" customFormat="false" ht="26.85" hidden="false" customHeight="false" outlineLevel="0" collapsed="false">
      <c r="A11" s="13" t="s">
        <v>233</v>
      </c>
      <c r="B11" s="13" t="s">
        <v>234</v>
      </c>
      <c r="C11" s="13" t="s">
        <v>235</v>
      </c>
      <c r="D11" s="14"/>
      <c r="E11" s="14"/>
      <c r="F11" s="14"/>
      <c r="G11" s="14"/>
    </row>
    <row r="12" customFormat="false" ht="15" hidden="false" customHeight="false" outlineLevel="0" collapsed="false">
      <c r="A12" s="13" t="s">
        <v>236</v>
      </c>
      <c r="B12" s="13" t="s">
        <v>237</v>
      </c>
      <c r="C12" s="13" t="s">
        <v>238</v>
      </c>
      <c r="D12" s="14"/>
      <c r="E12" s="14"/>
      <c r="F12" s="14"/>
      <c r="G12" s="14"/>
    </row>
    <row r="13" customFormat="false" ht="15" hidden="false" customHeight="false" outlineLevel="0" collapsed="false">
      <c r="A13" s="13" t="s">
        <v>239</v>
      </c>
      <c r="B13" s="13" t="s">
        <v>240</v>
      </c>
      <c r="C13" s="13" t="s">
        <v>241</v>
      </c>
      <c r="D13" s="14"/>
      <c r="E13" s="14"/>
      <c r="F13" s="14"/>
      <c r="G13" s="14"/>
    </row>
    <row r="15" customFormat="false" ht="15" hidden="false" customHeight="false" outlineLevel="0" collapsed="false">
      <c r="A15" s="15" t="s">
        <v>242</v>
      </c>
    </row>
  </sheetData>
  <conditionalFormatting sqref="D2:D13">
    <cfRule type="expression" priority="2" aboveAverage="0" equalAverage="0" bottom="0" percent="0" rank="0" text="" dxfId="5">
      <formula>D2="Yes"</formula>
    </cfRule>
    <cfRule type="expression" priority="3" aboveAverage="0" equalAverage="0" bottom="0" percent="0" rank="0" text="" dxfId="6">
      <formula>D2="Partial"</formula>
    </cfRule>
    <cfRule type="expression" priority="4" aboveAverage="0" equalAverage="0" bottom="0" percent="0" rank="0" text="" dxfId="7">
      <formula>D2="No"</formula>
    </cfRule>
  </conditionalFormatting>
  <dataValidations count="2">
    <dataValidation allowBlank="true" errorStyle="stop" operator="between" showDropDown="false" showErrorMessage="false" showInputMessage="false" sqref="D2:D13" type="list">
      <formula1>Lists!$A$4:$A$7</formula1>
      <formula2>0</formula2>
    </dataValidation>
    <dataValidation allowBlank="true" errorStyle="stop" operator="between" showDropDown="false" showErrorMessage="false" showInputMessage="false" sqref="E2:E13" type="list">
      <formula1>Lists!$B$4:$B$11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22"/>
  </cols>
  <sheetData>
    <row r="1" customFormat="false" ht="15" hidden="false" customHeight="false" outlineLevel="0" collapsed="false">
      <c r="A1" s="5" t="s">
        <v>243</v>
      </c>
    </row>
    <row r="3" customFormat="false" ht="15" hidden="false" customHeight="false" outlineLevel="0" collapsed="false">
      <c r="A3" s="3" t="s">
        <v>18</v>
      </c>
      <c r="B3" s="3" t="s">
        <v>20</v>
      </c>
      <c r="C3" s="3" t="s">
        <v>57</v>
      </c>
      <c r="D3" s="3" t="s">
        <v>24</v>
      </c>
    </row>
    <row r="4" customFormat="false" ht="15" hidden="false" customHeight="false" outlineLevel="0" collapsed="false">
      <c r="A4" s="7" t="s">
        <v>40</v>
      </c>
      <c r="B4" s="7" t="s">
        <v>244</v>
      </c>
      <c r="C4" s="7" t="s">
        <v>63</v>
      </c>
      <c r="D4" s="7" t="s">
        <v>245</v>
      </c>
    </row>
    <row r="5" customFormat="false" ht="15" hidden="false" customHeight="false" outlineLevel="0" collapsed="false">
      <c r="A5" s="7" t="s">
        <v>19</v>
      </c>
      <c r="B5" s="7" t="s">
        <v>246</v>
      </c>
      <c r="C5" s="7" t="s">
        <v>72</v>
      </c>
      <c r="D5" s="7" t="s">
        <v>25</v>
      </c>
    </row>
    <row r="6" customFormat="false" ht="15" hidden="false" customHeight="false" outlineLevel="0" collapsed="false">
      <c r="A6" s="7" t="s">
        <v>41</v>
      </c>
      <c r="B6" s="7" t="s">
        <v>247</v>
      </c>
      <c r="C6" s="7" t="s">
        <v>97</v>
      </c>
      <c r="D6" s="7" t="s">
        <v>248</v>
      </c>
    </row>
    <row r="7" customFormat="false" ht="15" hidden="false" customHeight="false" outlineLevel="0" collapsed="false">
      <c r="A7" s="7" t="s">
        <v>249</v>
      </c>
      <c r="B7" s="7" t="s">
        <v>21</v>
      </c>
    </row>
    <row r="8" customFormat="false" ht="15" hidden="false" customHeight="false" outlineLevel="0" collapsed="false">
      <c r="B8" s="7" t="s">
        <v>250</v>
      </c>
    </row>
    <row r="9" customFormat="false" ht="15" hidden="false" customHeight="false" outlineLevel="0" collapsed="false">
      <c r="B9" s="7" t="s">
        <v>251</v>
      </c>
    </row>
    <row r="10" customFormat="false" ht="15" hidden="false" customHeight="false" outlineLevel="0" collapsed="false">
      <c r="B10" s="7" t="s">
        <v>252</v>
      </c>
    </row>
    <row r="11" customFormat="false" ht="15" hidden="false" customHeight="false" outlineLevel="0" collapsed="false">
      <c r="B11" s="7" t="s">
        <v>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2026-10-23T02:48:32Z</dcterms:created>
  <dc:creator>openpyxl</dc:creator>
  <dc:description/>
  <dc:language>en-US</dc:language>
  <cp:lastModifiedBy/>
  <dcterms:modified xsi:type="dcterms:W3CDTF">2026-10-23T02:48:32Z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